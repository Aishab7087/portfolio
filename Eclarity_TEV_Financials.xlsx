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ntuac-my.sharepoint.com/personal/n1294402_my_ntu_ac_uk/Documents/Desktop/"/>
    </mc:Choice>
  </mc:AlternateContent>
  <xr:revisionPtr revIDLastSave="15" documentId="8_{8C8464E7-7A4A-452C-930C-349E8742FE31}" xr6:coauthVersionLast="47" xr6:coauthVersionMax="47" xr10:uidLastSave="{447F17C1-1518-4495-AD76-294DC55BD340}"/>
  <bookViews>
    <workbookView xWindow="-98" yWindow="-98" windowWidth="24196" windowHeight="14476" tabRatio="500" xr2:uid="{00000000-000D-0000-FFFF-FFFF00000000}"/>
  </bookViews>
  <sheets>
    <sheet name="Dashboard" sheetId="7" r:id="rId1"/>
    <sheet name="Income Statement" sheetId="1" r:id="rId2"/>
    <sheet name="Balance Sheet" sheetId="2" r:id="rId3"/>
    <sheet name="Cash Flow Statement" sheetId="3" r:id="rId4"/>
    <sheet name="Dep CapEx" sheetId="4" r:id="rId5"/>
    <sheet name="Working Capital" sheetId="5" r:id="rId6"/>
    <sheet name="Assumptions" sheetId="6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1" i="5" l="1"/>
  <c r="J21" i="5"/>
  <c r="I21" i="5"/>
  <c r="H21" i="5"/>
  <c r="G21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F11" i="5"/>
  <c r="E11" i="5"/>
  <c r="D11" i="5"/>
  <c r="F10" i="5"/>
  <c r="F14" i="5" s="1"/>
  <c r="F18" i="5" s="1"/>
  <c r="E10" i="5"/>
  <c r="E14" i="5" s="1"/>
  <c r="E18" i="5" s="1"/>
  <c r="D10" i="5"/>
  <c r="D14" i="5" s="1"/>
  <c r="D18" i="5" s="1"/>
  <c r="F8" i="5"/>
  <c r="E8" i="5"/>
  <c r="D8" i="5"/>
  <c r="F7" i="5"/>
  <c r="E7" i="5"/>
  <c r="E15" i="5" s="1"/>
  <c r="E19" i="5" s="1"/>
  <c r="D7" i="5"/>
  <c r="F6" i="5"/>
  <c r="E6" i="5"/>
  <c r="D6" i="5"/>
  <c r="C19" i="4"/>
  <c r="F17" i="4"/>
  <c r="G17" i="4" s="1"/>
  <c r="E17" i="4"/>
  <c r="F13" i="4"/>
  <c r="G10" i="4" s="1"/>
  <c r="F7" i="4"/>
  <c r="E7" i="4"/>
  <c r="D7" i="4"/>
  <c r="G5" i="4"/>
  <c r="G7" i="4" s="1"/>
  <c r="F5" i="4"/>
  <c r="E5" i="4"/>
  <c r="D5" i="4"/>
  <c r="G38" i="3"/>
  <c r="K33" i="3"/>
  <c r="J33" i="3"/>
  <c r="I33" i="3"/>
  <c r="H33" i="3"/>
  <c r="G33" i="3"/>
  <c r="K32" i="3"/>
  <c r="J32" i="3"/>
  <c r="I32" i="3"/>
  <c r="H32" i="3"/>
  <c r="G32" i="3"/>
  <c r="K26" i="3"/>
  <c r="J26" i="3"/>
  <c r="I26" i="3"/>
  <c r="H26" i="3"/>
  <c r="G26" i="3"/>
  <c r="K25" i="3"/>
  <c r="J25" i="3"/>
  <c r="I25" i="3"/>
  <c r="H25" i="3"/>
  <c r="G25" i="3"/>
  <c r="K24" i="3"/>
  <c r="J24" i="3"/>
  <c r="I24" i="3"/>
  <c r="H24" i="3"/>
  <c r="G24" i="3"/>
  <c r="D42" i="2"/>
  <c r="F39" i="2"/>
  <c r="E39" i="2"/>
  <c r="D39" i="2"/>
  <c r="F38" i="2"/>
  <c r="E38" i="2"/>
  <c r="D38" i="2"/>
  <c r="F30" i="2"/>
  <c r="F42" i="2" s="1"/>
  <c r="E30" i="2"/>
  <c r="E42" i="2" s="1"/>
  <c r="D30" i="2"/>
  <c r="K24" i="2"/>
  <c r="J24" i="2"/>
  <c r="I24" i="2"/>
  <c r="H24" i="2"/>
  <c r="G24" i="2"/>
  <c r="K23" i="2"/>
  <c r="J23" i="2"/>
  <c r="I23" i="2"/>
  <c r="H23" i="2"/>
  <c r="G23" i="2"/>
  <c r="F20" i="2"/>
  <c r="E20" i="2"/>
  <c r="D20" i="2"/>
  <c r="F17" i="2"/>
  <c r="F37" i="2" s="1"/>
  <c r="E17" i="2"/>
  <c r="E37" i="2" s="1"/>
  <c r="D17" i="2"/>
  <c r="D37" i="2" s="1"/>
  <c r="F11" i="2"/>
  <c r="F21" i="2" s="1"/>
  <c r="F25" i="2" s="1"/>
  <c r="F32" i="2" s="1"/>
  <c r="E11" i="2"/>
  <c r="E21" i="2" s="1"/>
  <c r="E25" i="2" s="1"/>
  <c r="E32" i="2" s="1"/>
  <c r="D11" i="2"/>
  <c r="D21" i="2" s="1"/>
  <c r="D25" i="2" s="1"/>
  <c r="D32" i="2" s="1"/>
  <c r="X17" i="1"/>
  <c r="F27" i="1"/>
  <c r="E27" i="1"/>
  <c r="D27" i="1"/>
  <c r="F25" i="1"/>
  <c r="E25" i="1"/>
  <c r="D25" i="1"/>
  <c r="F24" i="1"/>
  <c r="E24" i="1"/>
  <c r="G15" i="1"/>
  <c r="G10" i="3" s="1"/>
  <c r="F12" i="1"/>
  <c r="F16" i="1" s="1"/>
  <c r="E12" i="1"/>
  <c r="W18" i="1" s="1"/>
  <c r="F8" i="1"/>
  <c r="E8" i="1"/>
  <c r="W17" i="1" s="1"/>
  <c r="D8" i="1"/>
  <c r="D12" i="1" s="1"/>
  <c r="H6" i="1"/>
  <c r="G6" i="1"/>
  <c r="G10" i="1" s="1"/>
  <c r="F15" i="5" l="1"/>
  <c r="F19" i="5" s="1"/>
  <c r="F16" i="5"/>
  <c r="F20" i="5" s="1"/>
  <c r="F21" i="5" s="1"/>
  <c r="D15" i="5"/>
  <c r="D19" i="5" s="1"/>
  <c r="E16" i="5"/>
  <c r="E20" i="5" s="1"/>
  <c r="E21" i="5" s="1"/>
  <c r="F19" i="1"/>
  <c r="X19" i="1"/>
  <c r="F28" i="1"/>
  <c r="V18" i="1"/>
  <c r="D16" i="1"/>
  <c r="G12" i="4"/>
  <c r="G11" i="4" s="1"/>
  <c r="G23" i="3" s="1"/>
  <c r="G28" i="3" s="1"/>
  <c r="G7" i="2"/>
  <c r="H17" i="4"/>
  <c r="I6" i="1"/>
  <c r="G10" i="5"/>
  <c r="G6" i="5" s="1"/>
  <c r="D16" i="5"/>
  <c r="D20" i="5" s="1"/>
  <c r="D21" i="5" s="1"/>
  <c r="V17" i="1"/>
  <c r="H10" i="5"/>
  <c r="H6" i="5" s="1"/>
  <c r="G7" i="1"/>
  <c r="G11" i="5" s="1"/>
  <c r="E16" i="1"/>
  <c r="X18" i="1"/>
  <c r="G18" i="1"/>
  <c r="G8" i="1"/>
  <c r="G12" i="1" s="1"/>
  <c r="G16" i="1" s="1"/>
  <c r="G19" i="1" s="1"/>
  <c r="H18" i="1"/>
  <c r="H5" i="4"/>
  <c r="H7" i="4" s="1"/>
  <c r="H7" i="1"/>
  <c r="H11" i="5" s="1"/>
  <c r="G31" i="3"/>
  <c r="H10" i="1"/>
  <c r="G13" i="4" l="1"/>
  <c r="G8" i="2" s="1"/>
  <c r="G11" i="2" s="1"/>
  <c r="G7" i="3"/>
  <c r="G34" i="3"/>
  <c r="G29" i="2" s="1"/>
  <c r="H7" i="5"/>
  <c r="H8" i="5"/>
  <c r="G11" i="3"/>
  <c r="G20" i="3"/>
  <c r="H15" i="2"/>
  <c r="I10" i="1"/>
  <c r="I18" i="1"/>
  <c r="I7" i="1"/>
  <c r="I11" i="5" s="1"/>
  <c r="J6" i="1"/>
  <c r="I5" i="4"/>
  <c r="I7" i="4" s="1"/>
  <c r="I10" i="5"/>
  <c r="I6" i="5" s="1"/>
  <c r="I16" i="3" s="1"/>
  <c r="H12" i="4"/>
  <c r="H11" i="4" s="1"/>
  <c r="H23" i="3" s="1"/>
  <c r="H28" i="3" s="1"/>
  <c r="E19" i="1"/>
  <c r="W19" i="1"/>
  <c r="E28" i="1"/>
  <c r="G9" i="3"/>
  <c r="X20" i="1"/>
  <c r="F44" i="2"/>
  <c r="G35" i="3"/>
  <c r="H11" i="3"/>
  <c r="H20" i="3"/>
  <c r="G7" i="5"/>
  <c r="G8" i="5"/>
  <c r="G15" i="2"/>
  <c r="G16" i="3"/>
  <c r="H16" i="3"/>
  <c r="H7" i="2"/>
  <c r="H9" i="3" s="1"/>
  <c r="I17" i="4"/>
  <c r="H8" i="1"/>
  <c r="H12" i="1" s="1"/>
  <c r="V19" i="1"/>
  <c r="D19" i="1"/>
  <c r="D28" i="1"/>
  <c r="H10" i="4" l="1"/>
  <c r="H13" i="4" s="1"/>
  <c r="G30" i="2"/>
  <c r="G19" i="2"/>
  <c r="H15" i="1" s="1"/>
  <c r="H16" i="1" s="1"/>
  <c r="H19" i="1" s="1"/>
  <c r="G17" i="3"/>
  <c r="W20" i="1"/>
  <c r="E44" i="2"/>
  <c r="I7" i="5"/>
  <c r="I8" i="5"/>
  <c r="H15" i="3"/>
  <c r="G15" i="3"/>
  <c r="G14" i="2"/>
  <c r="J8" i="1"/>
  <c r="J12" i="1" s="1"/>
  <c r="J10" i="1"/>
  <c r="J18" i="1"/>
  <c r="J7" i="1"/>
  <c r="J11" i="5" s="1"/>
  <c r="J10" i="5"/>
  <c r="J6" i="5" s="1"/>
  <c r="K6" i="1"/>
  <c r="J5" i="4"/>
  <c r="J7" i="4" s="1"/>
  <c r="I11" i="3"/>
  <c r="I20" i="3"/>
  <c r="I12" i="4"/>
  <c r="I11" i="4" s="1"/>
  <c r="I23" i="3" s="1"/>
  <c r="I28" i="3" s="1"/>
  <c r="V20" i="1"/>
  <c r="D44" i="2"/>
  <c r="I7" i="2"/>
  <c r="I9" i="3" s="1"/>
  <c r="J17" i="4"/>
  <c r="I15" i="2"/>
  <c r="J16" i="3"/>
  <c r="I8" i="1"/>
  <c r="I12" i="1" s="1"/>
  <c r="H17" i="3"/>
  <c r="H19" i="2"/>
  <c r="I15" i="1" s="1"/>
  <c r="H14" i="2"/>
  <c r="I15" i="3"/>
  <c r="G19" i="3" l="1"/>
  <c r="G22" i="3" s="1"/>
  <c r="G36" i="3" s="1"/>
  <c r="G39" i="3" s="1"/>
  <c r="H38" i="3" s="1"/>
  <c r="J7" i="2"/>
  <c r="K17" i="4"/>
  <c r="K7" i="2" s="1"/>
  <c r="I17" i="3"/>
  <c r="I19" i="2"/>
  <c r="J15" i="1" s="1"/>
  <c r="J16" i="1" s="1"/>
  <c r="J19" i="1" s="1"/>
  <c r="K10" i="1"/>
  <c r="K7" i="1"/>
  <c r="K11" i="5" s="1"/>
  <c r="K8" i="1"/>
  <c r="K12" i="1" s="1"/>
  <c r="K18" i="1"/>
  <c r="K10" i="5"/>
  <c r="K6" i="5" s="1"/>
  <c r="K15" i="2" s="1"/>
  <c r="K5" i="4"/>
  <c r="K7" i="4" s="1"/>
  <c r="J15" i="2"/>
  <c r="H10" i="3"/>
  <c r="H31" i="3"/>
  <c r="J7" i="5"/>
  <c r="J15" i="3" s="1"/>
  <c r="J8" i="5"/>
  <c r="I14" i="2"/>
  <c r="I31" i="3"/>
  <c r="I10" i="3"/>
  <c r="H7" i="3"/>
  <c r="H34" i="3"/>
  <c r="H29" i="2" s="1"/>
  <c r="J12" i="4"/>
  <c r="J11" i="4" s="1"/>
  <c r="J23" i="3" s="1"/>
  <c r="J28" i="3" s="1"/>
  <c r="J9" i="3"/>
  <c r="J11" i="3"/>
  <c r="J20" i="3"/>
  <c r="H8" i="2"/>
  <c r="H11" i="2" s="1"/>
  <c r="I10" i="4"/>
  <c r="I13" i="4" s="1"/>
  <c r="I16" i="1"/>
  <c r="I19" i="1" s="1"/>
  <c r="H19" i="3" l="1"/>
  <c r="H22" i="3" s="1"/>
  <c r="K16" i="3"/>
  <c r="G16" i="2"/>
  <c r="G17" i="2" s="1"/>
  <c r="H30" i="2"/>
  <c r="G20" i="2"/>
  <c r="G21" i="2"/>
  <c r="G25" i="2" s="1"/>
  <c r="G32" i="2" s="1"/>
  <c r="H35" i="3"/>
  <c r="K12" i="4"/>
  <c r="K11" i="4" s="1"/>
  <c r="K23" i="3" s="1"/>
  <c r="K28" i="3" s="1"/>
  <c r="K9" i="3"/>
  <c r="K11" i="3"/>
  <c r="K20" i="3"/>
  <c r="K7" i="5"/>
  <c r="K14" i="2" s="1"/>
  <c r="K8" i="5"/>
  <c r="J17" i="3"/>
  <c r="J19" i="2"/>
  <c r="K15" i="1" s="1"/>
  <c r="K16" i="1" s="1"/>
  <c r="K19" i="1" s="1"/>
  <c r="J31" i="3"/>
  <c r="J10" i="3"/>
  <c r="I7" i="3"/>
  <c r="I19" i="3" s="1"/>
  <c r="I22" i="3" s="1"/>
  <c r="I34" i="3"/>
  <c r="I29" i="2" s="1"/>
  <c r="H36" i="3"/>
  <c r="H39" i="3" s="1"/>
  <c r="I35" i="3"/>
  <c r="J14" i="2"/>
  <c r="K15" i="3"/>
  <c r="J7" i="3"/>
  <c r="J34" i="3"/>
  <c r="I8" i="2"/>
  <c r="I11" i="2" s="1"/>
  <c r="J10" i="4"/>
  <c r="J13" i="4" s="1"/>
  <c r="J19" i="3" l="1"/>
  <c r="J22" i="3" s="1"/>
  <c r="J35" i="3"/>
  <c r="I38" i="3"/>
  <c r="H16" i="2"/>
  <c r="H17" i="2" s="1"/>
  <c r="I30" i="2"/>
  <c r="J29" i="2"/>
  <c r="K10" i="4"/>
  <c r="K13" i="4" s="1"/>
  <c r="K8" i="2" s="1"/>
  <c r="K11" i="2" s="1"/>
  <c r="J8" i="2"/>
  <c r="J11" i="2" s="1"/>
  <c r="K7" i="3"/>
  <c r="K34" i="3"/>
  <c r="I36" i="3"/>
  <c r="K17" i="3"/>
  <c r="K19" i="2"/>
  <c r="K10" i="3"/>
  <c r="K31" i="3"/>
  <c r="J36" i="3"/>
  <c r="K35" i="3" l="1"/>
  <c r="J30" i="2"/>
  <c r="K29" i="2"/>
  <c r="K30" i="2" s="1"/>
  <c r="K19" i="3"/>
  <c r="K22" i="3" s="1"/>
  <c r="H20" i="2"/>
  <c r="H21" i="2"/>
  <c r="H25" i="2" s="1"/>
  <c r="H32" i="2" s="1"/>
  <c r="I39" i="3"/>
  <c r="K36" i="3" l="1"/>
  <c r="I16" i="2"/>
  <c r="I17" i="2" s="1"/>
  <c r="J38" i="3"/>
  <c r="J39" i="3" s="1"/>
  <c r="K38" i="3" l="1"/>
  <c r="K39" i="3" s="1"/>
  <c r="K16" i="2" s="1"/>
  <c r="K17" i="2" s="1"/>
  <c r="J16" i="2"/>
  <c r="J17" i="2" s="1"/>
  <c r="I20" i="2"/>
  <c r="I21" i="2"/>
  <c r="I25" i="2" s="1"/>
  <c r="I32" i="2" s="1"/>
  <c r="K20" i="2" l="1"/>
  <c r="K21" i="2"/>
  <c r="K25" i="2" s="1"/>
  <c r="K32" i="2" s="1"/>
  <c r="J20" i="2"/>
  <c r="J21" i="2"/>
  <c r="J25" i="2" s="1"/>
  <c r="J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200-000001000000}">
      <text>
        <r>
          <rPr>
            <sz val="10"/>
            <rFont val="Arial"/>
            <family val="2"/>
          </rPr>
          <t>Depreciation (Dep CapEx row 7) plus amortisation (fall in intangibles, Balance Sheet row 7). Both are non-cash and added back.</t>
        </r>
      </text>
    </comment>
    <comment ref="B20" authorId="0" shapeId="0" xr:uid="{00000000-0006-0000-0200-000002000000}">
      <text>
        <r>
          <rPr>
            <sz val="10"/>
            <rFont val="Arial"/>
            <family val="2"/>
          </rPr>
          <t>Tied to the P&amp;L tax charge (Income Statement row 18). The balance sheet carries no separate tax-payable/accrual line, so cash tax paid must equal the charge for the three statements to articulate.</t>
        </r>
      </text>
    </comment>
    <comment ref="B24" authorId="0" shapeId="0" xr:uid="{00000000-0006-0000-0200-000003000000}">
      <text>
        <r>
          <rPr>
            <sz val="10"/>
            <rFont val="Arial"/>
            <family val="2"/>
          </rPr>
          <t>No new intangible/investment-property/other-investment additions assumed. Intangibles run off via amortisation only; investment property &amp; other financial assets held flat. Source: TEV Annual Report FY2024, Notes 10/12/13.</t>
        </r>
      </text>
    </comment>
    <comment ref="B32" authorId="0" shapeId="0" xr:uid="{00000000-0006-0000-0200-000004000000}">
      <text>
        <r>
          <rPr>
            <sz val="10"/>
            <rFont val="Arial"/>
            <family val="2"/>
          </rPr>
          <t>Borrowings held flat across the forecast (no drawdown/repayment schedule available), so net financing borrowing movement is nil. The interest-bearing balance implied by Assumptions!C9 stays constant as a share of Creditors.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300-000001000000}">
      <text>
        <r>
          <rPr>
            <sz val="10"/>
            <rFont val="Arial"/>
            <family val="2"/>
          </rPr>
          <t>CapEx set = total depreciation + amortisation charge, so the fixed-asset base declines by exactly the non-cash D&amp;A added back in the cash flow (keeps the three statements articulated). This is a maintenance-capex assumption: reinvestment matches the asset consumption each year. Source: user direction.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500-000001000000}">
      <text>
        <r>
          <rPr>
            <sz val="10"/>
            <rFont val="Arial"/>
            <family val="2"/>
          </rPr>
          <t>Assumed market rate for a UK SME secured facility (~9-11%). Historical implied rate (interest / borrowings) was implausibly high (39-146%), so a market rate is used instead. Source: user direction / market range.</t>
        </r>
      </text>
    </comment>
    <comment ref="C5" authorId="0" shapeId="0" xr:uid="{00000000-0006-0000-0500-000002000000}">
      <text>
        <r>
          <rPr>
            <sz val="10"/>
            <rFont val="Arial"/>
            <family val="2"/>
          </rPr>
          <t>Loans &amp; borrowings as a share of total Creditors-within-1yr, from FY2024 accounts Note 17 (£7,675,101 / £18,052,491 = 42.5%). Held constant across the forecast (only one year of split available). Source: TEV Annual Report FY2024, Note 17.</t>
        </r>
      </text>
    </comment>
    <comment ref="C6" authorId="0" shapeId="0" xr:uid="{00000000-0006-0000-0500-000003000000}">
      <text>
        <r>
          <rPr>
            <sz val="10"/>
            <rFont val="Arial"/>
            <family val="2"/>
          </rPr>
          <t>No consistent historical policy (2022: £15k, 2023: £334k, 2024: £0) and 2024 was loss-making. Assumed £0 across the forecast. Source: user direction.</t>
        </r>
      </text>
    </comment>
    <comment ref="C9" authorId="0" shapeId="0" xr:uid="{00000000-0006-0000-0500-000004000000}">
      <text>
        <r>
          <rPr>
            <sz val="10"/>
            <rFont val="Arial"/>
            <family val="2"/>
          </rPr>
          <t>Held flat at FY2024 closing (£44,549 HP/finance-lease). No repayment schedule available. Source: TEV Annual Report FY2024, Note 17/20.</t>
        </r>
      </text>
    </comment>
    <comment ref="C10" authorId="0" shapeId="0" xr:uid="{00000000-0006-0000-0500-000005000000}">
      <text>
        <r>
          <rPr>
            <sz val="10"/>
            <rFont val="Arial"/>
            <family val="2"/>
          </rPr>
          <t>Deferred tax; held flat at FY2024 closing (£16,181). The FY2024 fall was a one-off from the group property transfer, not expected to recur. Source: TEV Annual Report FY2024, Note 18.</t>
        </r>
      </text>
    </comment>
  </commentList>
</comments>
</file>

<file path=xl/sharedStrings.xml><?xml version="1.0" encoding="utf-8"?>
<sst xmlns="http://schemas.openxmlformats.org/spreadsheetml/2006/main" count="162" uniqueCount="117">
  <si>
    <t>The Essence Vault</t>
  </si>
  <si>
    <t>Income Statement</t>
  </si>
  <si>
    <t>All figures in £</t>
  </si>
  <si>
    <t>2022A</t>
  </si>
  <si>
    <t>2023A</t>
  </si>
  <si>
    <t>2024A</t>
  </si>
  <si>
    <t>2025F</t>
  </si>
  <si>
    <t>2026F</t>
  </si>
  <si>
    <t>2027F</t>
  </si>
  <si>
    <t>2028F</t>
  </si>
  <si>
    <t>2029F</t>
  </si>
  <si>
    <t>Revenues</t>
  </si>
  <si>
    <t>COGS</t>
  </si>
  <si>
    <t>Gorss Profit</t>
  </si>
  <si>
    <t>Admin Expenses</t>
  </si>
  <si>
    <t>Other Operating Income</t>
  </si>
  <si>
    <t>Operating Profit</t>
  </si>
  <si>
    <t>Other Interest Receiveable and similar income</t>
  </si>
  <si>
    <t>Interest Payables</t>
  </si>
  <si>
    <t>Profit/loss Before Tax</t>
  </si>
  <si>
    <t>Tax on Profit</t>
  </si>
  <si>
    <t>Profit for the financial year</t>
  </si>
  <si>
    <t>Drivers</t>
  </si>
  <si>
    <t>Revenue</t>
  </si>
  <si>
    <t>Revenue (% of growth)</t>
  </si>
  <si>
    <t>Cost of Sales %</t>
  </si>
  <si>
    <t>Admin Expense (% of revenue)</t>
  </si>
  <si>
    <t>Effective Tax Rate</t>
  </si>
  <si>
    <t>Gross Margin</t>
  </si>
  <si>
    <t>EBIT Margin</t>
  </si>
  <si>
    <t>EBT Margin</t>
  </si>
  <si>
    <t>NET income margin</t>
  </si>
  <si>
    <t>Balance Sheet</t>
  </si>
  <si>
    <t>Fixed Assets</t>
  </si>
  <si>
    <t>Intangible Assets</t>
  </si>
  <si>
    <t>Tangible Assets</t>
  </si>
  <si>
    <t>Investment Property</t>
  </si>
  <si>
    <t>Other Financial Assets</t>
  </si>
  <si>
    <t xml:space="preserve">Total Fixed Assets </t>
  </si>
  <si>
    <t>Current Assets</t>
  </si>
  <si>
    <t>Stocks</t>
  </si>
  <si>
    <t>Debters</t>
  </si>
  <si>
    <t xml:space="preserve">Cash at Bank &amp; in hand </t>
  </si>
  <si>
    <t>Total Current Assets</t>
  </si>
  <si>
    <t>Creditors: Amounts falling due within 1 year</t>
  </si>
  <si>
    <t>Net Current Assets/(liabilities)</t>
  </si>
  <si>
    <t>Totals Assets less current liabilities</t>
  </si>
  <si>
    <t>Creditors: Amounts falling due after more than 1 year</t>
  </si>
  <si>
    <t>Provisions for liabilities</t>
  </si>
  <si>
    <t xml:space="preserve">Net Assets </t>
  </si>
  <si>
    <t>Capital and Reserves</t>
  </si>
  <si>
    <t>Called up share Capital</t>
  </si>
  <si>
    <t>Retained Earnings</t>
  </si>
  <si>
    <t>Share holders Funds</t>
  </si>
  <si>
    <t>Check</t>
  </si>
  <si>
    <t>Liquidity Ratio</t>
  </si>
  <si>
    <t>Current Ratio</t>
  </si>
  <si>
    <t>Quick Ratio</t>
  </si>
  <si>
    <t>Cash Ratio</t>
  </si>
  <si>
    <t>Leverage ratio</t>
  </si>
  <si>
    <t xml:space="preserve">Debt to Equity Ratio </t>
  </si>
  <si>
    <t>ROE (Net Income/ ShareHolders Equity)</t>
  </si>
  <si>
    <t>Cashflow Statement</t>
  </si>
  <si>
    <t>Cash flow from operating activities</t>
  </si>
  <si>
    <t>Profit for the year</t>
  </si>
  <si>
    <t>Adjustments to cash flows from non-cash items</t>
  </si>
  <si>
    <t>Depreciation and amortisation</t>
  </si>
  <si>
    <t>Finance costs</t>
  </si>
  <si>
    <t>Taxation charge</t>
  </si>
  <si>
    <t>Working capital adjustments</t>
  </si>
  <si>
    <t xml:space="preserve">Increase in stocks </t>
  </si>
  <si>
    <t>Increase in trade debtors</t>
  </si>
  <si>
    <t>Increase in trade creditors</t>
  </si>
  <si>
    <t>Cash generated from operating activity</t>
  </si>
  <si>
    <t>Income tax paid</t>
  </si>
  <si>
    <t>Net cash flow from operating activities</t>
  </si>
  <si>
    <t>Acquisitions of tangible assets</t>
  </si>
  <si>
    <t>Acquisitions of intangible assets</t>
  </si>
  <si>
    <t>Acquisitions of investment properties</t>
  </si>
  <si>
    <t>Acquisitions of other investments</t>
  </si>
  <si>
    <t>Net cashflows from investing activities</t>
  </si>
  <si>
    <t>Cash flows from financing activities</t>
  </si>
  <si>
    <t>Interest Paid</t>
  </si>
  <si>
    <t>Proceeds from other borrowings draw downs</t>
  </si>
  <si>
    <t>Repayment of other borrowing</t>
  </si>
  <si>
    <t>Dividends paid</t>
  </si>
  <si>
    <t>Net cash flows from financing activities</t>
  </si>
  <si>
    <t>Net (Decrease)/Increase in cash and cash equivalents</t>
  </si>
  <si>
    <t>Cash and Cash equivalents at 1 January</t>
  </si>
  <si>
    <t>Cash and cash equivalents at 31 December</t>
  </si>
  <si>
    <t>Depreciation</t>
  </si>
  <si>
    <t>Depreciation as % or revenue</t>
  </si>
  <si>
    <t>Beginning PP&amp;E</t>
  </si>
  <si>
    <t>Capital Expenditure</t>
  </si>
  <si>
    <t>Net PPE</t>
  </si>
  <si>
    <t>Ammortisation</t>
  </si>
  <si>
    <t xml:space="preserve">Ammortisation % </t>
  </si>
  <si>
    <t>Working Capital</t>
  </si>
  <si>
    <t>Accounts Receivables</t>
  </si>
  <si>
    <t>Accounts Payables</t>
  </si>
  <si>
    <t>Total Revenue</t>
  </si>
  <si>
    <t>Operating Costs</t>
  </si>
  <si>
    <t>Turnover Ratios</t>
  </si>
  <si>
    <t>Receivables turnover</t>
  </si>
  <si>
    <t>Stocks turnover</t>
  </si>
  <si>
    <t>Payables turnover</t>
  </si>
  <si>
    <t>Receivables collection period</t>
  </si>
  <si>
    <t>Inventory processing period</t>
  </si>
  <si>
    <t xml:space="preserve">Payment period </t>
  </si>
  <si>
    <t>Cash collection cycle</t>
  </si>
  <si>
    <t>Financing assumptions</t>
  </si>
  <si>
    <t>Interest rate on borrowings</t>
  </si>
  <si>
    <t>Interest-bearing % of Creditors (within 1yr)</t>
  </si>
  <si>
    <t>Dividend payout (% of profit)</t>
  </si>
  <si>
    <t>Balance-held-flat assumptions</t>
  </si>
  <si>
    <t>Creditors: due after 1 year (held flat, £)</t>
  </si>
  <si>
    <t>Provisions for liabilities (held flat, 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</si>
</sst>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);\(#,##0\)"/>
    <numFmt numFmtId="165" formatCode="_(#,##0_)_%;\(#,##0\)_%;_(\–_)_%;_(@_)_%"/>
    <numFmt numFmtId="166" formatCode="_(* #,##0.00_);_(* \(#,##0.00\);_(* \-??_);_(@_)"/>
    <numFmt numFmtId="167" formatCode="_ * #,##0.00_ ;_ * \-#,##0.00_ ;_ * \-??_ ;_ @_ "/>
    <numFmt numFmtId="168" formatCode="_(#,##0.0_);\(#,##0.0\);_(\–_);_(@_)"/>
    <numFmt numFmtId="169" formatCode="0.0%"/>
    <numFmt numFmtId="170" formatCode="#,##0.0"/>
    <numFmt numFmtId="171" formatCode="0.0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36"/>
      <color theme="1"/>
      <name val="Calibri"/>
      <family val="2"/>
      <charset val="1"/>
    </font>
    <font>
      <b/>
      <sz val="14"/>
      <color rgb="FF3271D2"/>
      <name val="Open Sans"/>
      <family val="2"/>
      <charset val="1"/>
    </font>
    <font>
      <i/>
      <sz val="9"/>
      <name val="Open Sans"/>
      <family val="2"/>
      <charset val="1"/>
    </font>
    <font>
      <sz val="10"/>
      <name val="Open Sans"/>
      <family val="2"/>
      <charset val="1"/>
    </font>
    <font>
      <b/>
      <sz val="10"/>
      <name val="Open Sans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name val="Open Sans"/>
      <family val="2"/>
      <charset val="1"/>
    </font>
    <font>
      <sz val="11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theme="4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 tint="4.9989318521683403E-2"/>
      <name val="Calibri"/>
      <family val="2"/>
    </font>
    <font>
      <b/>
      <sz val="11"/>
      <color theme="1" tint="4.9989318521683403E-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F2FF"/>
        <bgColor rgb="FFF2F2F2"/>
      </patternFill>
    </fill>
    <fill>
      <patternFill patternType="solid">
        <fgColor theme="0" tint="-4.9989318521683403E-2"/>
        <bgColor rgb="FFE7F2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4" fillId="0" borderId="0"/>
    <xf numFmtId="9" fontId="14" fillId="0" borderId="0"/>
    <xf numFmtId="0" fontId="2" fillId="0" borderId="0"/>
  </cellStyleXfs>
  <cellXfs count="95">
    <xf numFmtId="0" fontId="0" fillId="0" borderId="0" xfId="0"/>
    <xf numFmtId="164" fontId="4" fillId="2" borderId="0" xfId="3" applyNumberFormat="1" applyFont="1" applyFill="1" applyAlignment="1">
      <alignment vertical="center"/>
    </xf>
    <xf numFmtId="165" fontId="5" fillId="0" borderId="0" xfId="0" applyNumberFormat="1" applyFont="1" applyAlignment="1">
      <alignment vertical="center"/>
    </xf>
    <xf numFmtId="0" fontId="0" fillId="0" borderId="1" xfId="0" applyBorder="1"/>
    <xf numFmtId="0" fontId="0" fillId="0" borderId="2" xfId="0" applyBorder="1"/>
    <xf numFmtId="0" fontId="6" fillId="0" borderId="0" xfId="3" applyFont="1" applyAlignment="1">
      <alignment horizontal="left" indent="1"/>
    </xf>
    <xf numFmtId="167" fontId="14" fillId="0" borderId="0" xfId="1" applyNumberFormat="1"/>
    <xf numFmtId="168" fontId="14" fillId="0" borderId="0" xfId="1" applyNumberFormat="1"/>
    <xf numFmtId="0" fontId="7" fillId="0" borderId="0" xfId="3" applyFont="1" applyAlignment="1">
      <alignment horizontal="left" indent="1"/>
    </xf>
    <xf numFmtId="167" fontId="8" fillId="0" borderId="3" xfId="1" applyNumberFormat="1" applyFont="1" applyBorder="1"/>
    <xf numFmtId="0" fontId="9" fillId="0" borderId="0" xfId="0" applyFont="1"/>
    <xf numFmtId="167" fontId="0" fillId="0" borderId="0" xfId="0" applyNumberFormat="1"/>
    <xf numFmtId="0" fontId="0" fillId="0" borderId="0" xfId="0" applyAlignment="1">
      <alignment horizontal="left" indent="1"/>
    </xf>
    <xf numFmtId="9" fontId="14" fillId="0" borderId="4" xfId="2" applyBorder="1"/>
    <xf numFmtId="9" fontId="14" fillId="0" borderId="0" xfId="2"/>
    <xf numFmtId="10" fontId="14" fillId="0" borderId="0" xfId="2" applyNumberFormat="1"/>
    <xf numFmtId="0" fontId="10" fillId="0" borderId="0" xfId="3" applyFont="1" applyAlignment="1">
      <alignment horizontal="left" indent="1"/>
    </xf>
    <xf numFmtId="0" fontId="8" fillId="0" borderId="0" xfId="0" applyFont="1"/>
    <xf numFmtId="167" fontId="8" fillId="0" borderId="0" xfId="1" applyNumberFormat="1" applyFont="1"/>
    <xf numFmtId="168" fontId="0" fillId="0" borderId="0" xfId="0" applyNumberFormat="1"/>
    <xf numFmtId="167" fontId="14" fillId="3" borderId="0" xfId="1" applyNumberFormat="1" applyFill="1"/>
    <xf numFmtId="167" fontId="8" fillId="3" borderId="0" xfId="1" applyNumberFormat="1" applyFont="1" applyFill="1"/>
    <xf numFmtId="167" fontId="11" fillId="0" borderId="0" xfId="1" applyNumberFormat="1" applyFont="1"/>
    <xf numFmtId="0" fontId="8" fillId="0" borderId="3" xfId="0" applyFont="1" applyBorder="1"/>
    <xf numFmtId="171" fontId="14" fillId="0" borderId="0" xfId="2" applyNumberFormat="1"/>
    <xf numFmtId="1" fontId="8" fillId="0" borderId="2" xfId="0" applyNumberFormat="1" applyFont="1" applyBorder="1"/>
    <xf numFmtId="0" fontId="12" fillId="0" borderId="0" xfId="0" applyFont="1"/>
    <xf numFmtId="168" fontId="15" fillId="0" borderId="0" xfId="1" applyNumberFormat="1" applyFont="1"/>
    <xf numFmtId="167" fontId="15" fillId="0" borderId="0" xfId="1" applyNumberFormat="1" applyFont="1"/>
    <xf numFmtId="168" fontId="15" fillId="0" borderId="0" xfId="0" applyNumberFormat="1" applyFont="1"/>
    <xf numFmtId="168" fontId="17" fillId="0" borderId="0" xfId="1" applyNumberFormat="1" applyFont="1"/>
    <xf numFmtId="167" fontId="18" fillId="0" borderId="2" xfId="1" applyNumberFormat="1" applyFont="1" applyBorder="1"/>
    <xf numFmtId="167" fontId="17" fillId="0" borderId="0" xfId="1" applyNumberFormat="1" applyFont="1"/>
    <xf numFmtId="168" fontId="18" fillId="0" borderId="2" xfId="0" applyNumberFormat="1" applyFont="1" applyBorder="1"/>
    <xf numFmtId="168" fontId="17" fillId="0" borderId="0" xfId="0" applyNumberFormat="1" applyFont="1"/>
    <xf numFmtId="10" fontId="15" fillId="0" borderId="0" xfId="0" applyNumberFormat="1" applyFont="1"/>
    <xf numFmtId="0" fontId="19" fillId="0" borderId="0" xfId="0" applyFont="1"/>
    <xf numFmtId="170" fontId="19" fillId="0" borderId="0" xfId="0" applyNumberFormat="1" applyFont="1"/>
    <xf numFmtId="0" fontId="8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7" fontId="17" fillId="0" borderId="0" xfId="0" applyNumberFormat="1" applyFont="1"/>
    <xf numFmtId="167" fontId="17" fillId="0" borderId="9" xfId="0" applyNumberFormat="1" applyFont="1" applyBorder="1"/>
    <xf numFmtId="2" fontId="17" fillId="0" borderId="0" xfId="0" applyNumberFormat="1" applyFont="1"/>
    <xf numFmtId="2" fontId="17" fillId="0" borderId="9" xfId="0" applyNumberFormat="1" applyFont="1" applyBorder="1"/>
    <xf numFmtId="0" fontId="0" fillId="0" borderId="9" xfId="0" applyBorder="1"/>
    <xf numFmtId="0" fontId="8" fillId="0" borderId="8" xfId="0" applyFont="1" applyBorder="1"/>
    <xf numFmtId="0" fontId="8" fillId="0" borderId="10" xfId="0" applyFont="1" applyBorder="1"/>
    <xf numFmtId="9" fontId="17" fillId="0" borderId="1" xfId="2" applyFont="1" applyBorder="1"/>
    <xf numFmtId="9" fontId="17" fillId="0" borderId="11" xfId="2" applyFont="1" applyBorder="1"/>
    <xf numFmtId="0" fontId="0" fillId="0" borderId="12" xfId="0" applyBorder="1"/>
    <xf numFmtId="10" fontId="14" fillId="0" borderId="13" xfId="2" applyNumberFormat="1" applyBorder="1"/>
    <xf numFmtId="168" fontId="0" fillId="0" borderId="2" xfId="0" applyNumberFormat="1" applyBorder="1"/>
    <xf numFmtId="171" fontId="14" fillId="0" borderId="2" xfId="2" applyNumberFormat="1" applyBorder="1"/>
    <xf numFmtId="171" fontId="14" fillId="0" borderId="13" xfId="2" applyNumberFormat="1" applyBorder="1"/>
    <xf numFmtId="0" fontId="0" fillId="0" borderId="8" xfId="0" applyBorder="1" applyAlignment="1">
      <alignment horizontal="left" indent="1"/>
    </xf>
    <xf numFmtId="1" fontId="14" fillId="0" borderId="0" xfId="0" applyNumberFormat="1" applyFont="1"/>
    <xf numFmtId="1" fontId="14" fillId="0" borderId="9" xfId="0" applyNumberFormat="1" applyFont="1" applyBorder="1"/>
    <xf numFmtId="0" fontId="15" fillId="0" borderId="0" xfId="0" applyFont="1"/>
    <xf numFmtId="0" fontId="15" fillId="0" borderId="9" xfId="0" applyFont="1" applyBorder="1"/>
    <xf numFmtId="1" fontId="8" fillId="0" borderId="13" xfId="0" applyNumberFormat="1" applyFont="1" applyBorder="1"/>
    <xf numFmtId="0" fontId="0" fillId="0" borderId="5" xfId="0" applyBorder="1"/>
    <xf numFmtId="167" fontId="14" fillId="0" borderId="6" xfId="1" applyNumberFormat="1" applyBorder="1"/>
    <xf numFmtId="167" fontId="14" fillId="0" borderId="7" xfId="1" applyNumberFormat="1" applyBorder="1"/>
    <xf numFmtId="167" fontId="14" fillId="0" borderId="9" xfId="1" applyNumberFormat="1" applyBorder="1"/>
    <xf numFmtId="167" fontId="14" fillId="0" borderId="0" xfId="0" applyNumberFormat="1" applyFont="1"/>
    <xf numFmtId="167" fontId="14" fillId="0" borderId="9" xfId="0" applyNumberFormat="1" applyFont="1" applyBorder="1"/>
    <xf numFmtId="167" fontId="14" fillId="0" borderId="1" xfId="1" applyNumberFormat="1" applyBorder="1"/>
    <xf numFmtId="167" fontId="14" fillId="0" borderId="11" xfId="1" applyNumberFormat="1" applyBorder="1"/>
    <xf numFmtId="0" fontId="13" fillId="0" borderId="8" xfId="0" applyFont="1" applyBorder="1"/>
    <xf numFmtId="169" fontId="16" fillId="4" borderId="9" xfId="0" applyNumberFormat="1" applyFont="1" applyFill="1" applyBorder="1"/>
    <xf numFmtId="0" fontId="0" fillId="5" borderId="9" xfId="0" applyFill="1" applyBorder="1"/>
    <xf numFmtId="167" fontId="16" fillId="4" borderId="9" xfId="0" applyNumberFormat="1" applyFont="1" applyFill="1" applyBorder="1"/>
    <xf numFmtId="0" fontId="13" fillId="0" borderId="10" xfId="0" applyFont="1" applyBorder="1"/>
    <xf numFmtId="167" fontId="16" fillId="4" borderId="11" xfId="0" applyNumberFormat="1" applyFont="1" applyFill="1" applyBorder="1"/>
    <xf numFmtId="0" fontId="12" fillId="0" borderId="5" xfId="0" applyFont="1" applyBorder="1"/>
    <xf numFmtId="0" fontId="12" fillId="0" borderId="8" xfId="0" applyFont="1" applyBorder="1"/>
    <xf numFmtId="0" fontId="9" fillId="0" borderId="3" xfId="0" applyFont="1" applyBorder="1"/>
    <xf numFmtId="167" fontId="20" fillId="0" borderId="0" xfId="1" applyNumberFormat="1" applyFont="1"/>
    <xf numFmtId="168" fontId="20" fillId="0" borderId="0" xfId="1" applyNumberFormat="1" applyFont="1"/>
    <xf numFmtId="167" fontId="21" fillId="0" borderId="2" xfId="1" applyNumberFormat="1" applyFont="1" applyBorder="1"/>
    <xf numFmtId="167" fontId="21" fillId="0" borderId="3" xfId="1" applyNumberFormat="1" applyFont="1" applyBorder="1"/>
    <xf numFmtId="168" fontId="21" fillId="0" borderId="3" xfId="1" applyNumberFormat="1" applyFont="1" applyBorder="1"/>
    <xf numFmtId="9" fontId="20" fillId="0" borderId="0" xfId="2" applyFont="1"/>
    <xf numFmtId="10" fontId="20" fillId="0" borderId="0" xfId="2" applyNumberFormat="1" applyFont="1"/>
    <xf numFmtId="169" fontId="20" fillId="0" borderId="0" xfId="2" applyNumberFormat="1" applyFont="1"/>
    <xf numFmtId="9" fontId="15" fillId="0" borderId="0" xfId="2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167" fontId="0" fillId="6" borderId="0" xfId="0" applyNumberFormat="1" applyFill="1"/>
    <xf numFmtId="10" fontId="14" fillId="6" borderId="0" xfId="2" applyNumberFormat="1" applyFill="1"/>
    <xf numFmtId="167" fontId="14" fillId="6" borderId="0" xfId="1" applyNumberFormat="1" applyFill="1"/>
    <xf numFmtId="0" fontId="3" fillId="6" borderId="0" xfId="0" applyFont="1" applyFill="1" applyAlignment="1">
      <alignment horizontal="center"/>
    </xf>
    <xf numFmtId="0" fontId="0" fillId="6" borderId="0" xfId="0" applyFill="1"/>
  </cellXfs>
  <cellStyles count="4">
    <cellStyle name="Comma" xfId="1" builtinId="3"/>
    <cellStyle name="Normal" xfId="0" builtinId="0"/>
    <cellStyle name="Normal 2" xfId="3" xr:uid="{00000000-0005-0000-0000-000006000000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271D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Growth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'Income Statement'!$D$4:$K$4</c:f>
              <c:strCache>
                <c:ptCount val="8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2025F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</c:strCache>
            </c:strRef>
          </c:cat>
          <c:val>
            <c:numRef>
              <c:f>'Income Statement'!$D$6:$K$6</c:f>
              <c:numCache>
                <c:formatCode>_ * #,##0.00_ ;_ * \-#,##0.00_ ;_ * \-??_ ;_ @_ </c:formatCode>
                <c:ptCount val="8"/>
                <c:pt idx="0">
                  <c:v>14421276</c:v>
                </c:pt>
                <c:pt idx="1">
                  <c:v>30095946</c:v>
                </c:pt>
                <c:pt idx="2">
                  <c:v>34593327</c:v>
                </c:pt>
                <c:pt idx="3">
                  <c:v>40474192.589999996</c:v>
                </c:pt>
                <c:pt idx="4">
                  <c:v>47354805.330299996</c:v>
                </c:pt>
                <c:pt idx="5">
                  <c:v>55405122.236450993</c:v>
                </c:pt>
                <c:pt idx="6">
                  <c:v>64823993.016647659</c:v>
                </c:pt>
                <c:pt idx="7">
                  <c:v>75844071.829477757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2-473A-962D-25E0CFF2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3207455"/>
        <c:axId val="384745199"/>
      </c:lineChart>
      <c:catAx>
        <c:axId val="61320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45199"/>
        <c:crosses val="autoZero"/>
        <c:auto val="1"/>
        <c:lblAlgn val="ctr"/>
        <c:lblOffset val="100"/>
        <c:noMultiLvlLbl val="0"/>
      </c:catAx>
      <c:valAx>
        <c:axId val="384745199"/>
        <c:scaling>
          <c:orientation val="minMax"/>
        </c:scaling>
        <c:delete val="0"/>
        <c:axPos val="l"/>
        <c:numFmt formatCode="_ * #,##0.00_ ;_ * \-#,##0.00_ ;_ * \-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0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'Income Statement'!$D$4:$K$4</c:f>
              <c:strCache>
                <c:ptCount val="8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2025F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</c:strCache>
            </c:strRef>
          </c:cat>
          <c:val>
            <c:numRef>
              <c:f>'Income Statement'!$D$19:$K$19</c:f>
              <c:numCache>
                <c:formatCode>_ * #,##0.00_ ;_ * \-#,##0.00_ ;_ * \-??_ ;_ @_ </c:formatCode>
                <c:ptCount val="8"/>
                <c:pt idx="0">
                  <c:v>1279332</c:v>
                </c:pt>
                <c:pt idx="1">
                  <c:v>611798</c:v>
                </c:pt>
                <c:pt idx="2" formatCode="_(#,##0.0_);\(#,##0.0\);_(\–_);_(@_)">
                  <c:v>-884501</c:v>
                </c:pt>
                <c:pt idx="3" formatCode="_(#,##0.0_);\(#,##0.0\);_(\–_);_(@_)">
                  <c:v>847002.70360000175</c:v>
                </c:pt>
                <c:pt idx="4" formatCode="_(#,##0.0_);\(#,##0.0\);_(\–_);_(@_)">
                  <c:v>1451292.1937762562</c:v>
                </c:pt>
                <c:pt idx="5" formatCode="_(#,##0.0_);\(#,##0.0\);_(\–_);_(@_)">
                  <c:v>1698769.1997182185</c:v>
                </c:pt>
                <c:pt idx="6" formatCode="_(#,##0.0_);\(#,##0.0\);_(\–_);_(@_)">
                  <c:v>1988317.2966703139</c:v>
                </c:pt>
                <c:pt idx="7" formatCode="_(#,##0.0_);\(#,##0.0\);_(\–_);_(@_)">
                  <c:v>2327088.5701042665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E-4985-BAE9-147D0BEA4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5488495"/>
        <c:axId val="384756719"/>
      </c:lineChart>
      <c:catAx>
        <c:axId val="6054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56719"/>
        <c:crosses val="autoZero"/>
        <c:auto val="1"/>
        <c:lblAlgn val="ctr"/>
        <c:lblOffset val="100"/>
        <c:noMultiLvlLbl val="0"/>
      </c:catAx>
      <c:valAx>
        <c:axId val="384756719"/>
        <c:scaling>
          <c:orientation val="minMax"/>
        </c:scaling>
        <c:delete val="0"/>
        <c:axPos val="l"/>
        <c:numFmt formatCode="_ * #,##0.00_ ;_ * \-#,##0.00_ ;_ * \-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8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300037</xdr:colOff>
      <xdr:row>1</xdr:row>
      <xdr:rowOff>109539</xdr:rowOff>
    </xdr:from>
    <xdr:to>
      <xdr:col>8</xdr:col>
      <xdr:colOff>14287</xdr:colOff>
      <xdr:row>16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6CCFF-7E0F-4928-9341-1D24CC989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1</xdr:row>
      <xdr:rowOff>123825</xdr:rowOff>
    </xdr:from>
    <xdr:to>
      <xdr:col>15</xdr:col>
      <xdr:colOff>276225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3678C-DA7E-47C2-8796-CB5586BAE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C251-F86C-4E00-B78D-1C8825646FBA}">
  <dimension ref="A1:Q22"/>
  <sheetViews>
    <sheetView showGridLines="0" tabSelected="1" zoomScale="145" zoomScaleNormal="145" workbookViewId="0">
      <selection activeCell="F20" sqref="F20"/>
    </sheetView>
  </sheetViews>
  <sheetFormatPr defaultRowHeight="14.25" x14ac:dyDescent="0.45"/>
  <cols>
    <col min="1" max="1" width="4.53125" customWidth="1"/>
  </cols>
  <sheetData>
    <row r="1" spans="1:17" ht="46.15" x14ac:dyDescent="1.3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2" spans="1:17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</row>
    <row r="3" spans="1:17" x14ac:dyDescent="0.4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x14ac:dyDescent="0.4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1:17" x14ac:dyDescent="0.4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1:17" x14ac:dyDescent="0.4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1:17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1:17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</row>
    <row r="10" spans="1:17" x14ac:dyDescent="0.4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1:17" x14ac:dyDescent="0.4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1:17" x14ac:dyDescent="0.4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</row>
    <row r="13" spans="1:17" x14ac:dyDescent="0.4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4" spans="1:17" x14ac:dyDescent="0.45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</row>
    <row r="15" spans="1:17" x14ac:dyDescent="0.4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</row>
    <row r="16" spans="1:17" x14ac:dyDescent="0.4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</row>
    <row r="17" spans="1:17" x14ac:dyDescent="0.4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</row>
    <row r="18" spans="1:17" x14ac:dyDescent="0.4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</row>
    <row r="19" spans="1:17" x14ac:dyDescent="0.4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</row>
    <row r="20" spans="1:17" x14ac:dyDescent="0.4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</row>
    <row r="21" spans="1:17" x14ac:dyDescent="0.4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</row>
    <row r="22" spans="1:17" x14ac:dyDescent="0.4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</row>
  </sheetData>
  <mergeCells count="1"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showGridLines="0" topLeftCell="A16" zoomScale="115" zoomScaleNormal="115" workbookViewId="0">
      <selection sqref="A1:K1"/>
    </sheetView>
  </sheetViews>
  <sheetFormatPr defaultColWidth="8.6640625" defaultRowHeight="14.25" x14ac:dyDescent="0.45"/>
  <cols>
    <col min="1" max="1" width="3" customWidth="1"/>
    <col min="2" max="2" width="27.73046875" customWidth="1"/>
    <col min="4" max="9" width="14.19921875" customWidth="1"/>
    <col min="10" max="11" width="14.6640625" customWidth="1"/>
  </cols>
  <sheetData>
    <row r="1" spans="1:11" ht="43.5" customHeight="1" x14ac:dyDescent="1.3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4.25" customHeight="1" x14ac:dyDescent="0.4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</row>
    <row r="4" spans="1:11" x14ac:dyDescent="0.45">
      <c r="B4" s="2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6" spans="1:11" ht="15" customHeight="1" x14ac:dyDescent="0.55000000000000004">
      <c r="B6" s="5" t="s">
        <v>11</v>
      </c>
      <c r="D6" s="28">
        <v>14421276</v>
      </c>
      <c r="E6" s="28">
        <v>30095946</v>
      </c>
      <c r="F6" s="28">
        <v>34593327</v>
      </c>
      <c r="G6" s="79">
        <f>F6*(1+G24)</f>
        <v>40474192.589999996</v>
      </c>
      <c r="H6" s="79">
        <f>G6*(1+H24)</f>
        <v>47354805.330299996</v>
      </c>
      <c r="I6" s="79">
        <f>H6*(1+I24)</f>
        <v>55405122.236450993</v>
      </c>
      <c r="J6" s="79">
        <f>I6*(1+J24)</f>
        <v>64823993.016647659</v>
      </c>
      <c r="K6" s="79">
        <f>J6*(1+K24)</f>
        <v>75844071.829477757</v>
      </c>
    </row>
    <row r="7" spans="1:11" ht="15" customHeight="1" x14ac:dyDescent="0.55000000000000004">
      <c r="B7" s="5" t="s">
        <v>12</v>
      </c>
      <c r="D7" s="27">
        <v>-10569992</v>
      </c>
      <c r="E7" s="27">
        <v>-23778183</v>
      </c>
      <c r="F7" s="27">
        <v>-26706251</v>
      </c>
      <c r="G7" s="80">
        <f>G6*G25*-1</f>
        <v>-30355644.442499995</v>
      </c>
      <c r="H7" s="80">
        <f>H6*H25*-1</f>
        <v>-35516103.997724995</v>
      </c>
      <c r="I7" s="80">
        <f>I6*I25*-1</f>
        <v>-41553841.677338243</v>
      </c>
      <c r="J7" s="80">
        <f>J6*J25*-1</f>
        <v>-48617994.762485743</v>
      </c>
      <c r="K7" s="80">
        <f>K6*K25*-1</f>
        <v>-56883053.872108318</v>
      </c>
    </row>
    <row r="8" spans="1:11" ht="15" customHeight="1" x14ac:dyDescent="0.55000000000000004">
      <c r="B8" s="8" t="s">
        <v>13</v>
      </c>
      <c r="D8" s="81">
        <f t="shared" ref="D8:K8" si="0">SUM(D6:D7)</f>
        <v>3851284</v>
      </c>
      <c r="E8" s="81">
        <f t="shared" si="0"/>
        <v>6317763</v>
      </c>
      <c r="F8" s="81">
        <f t="shared" si="0"/>
        <v>7887076</v>
      </c>
      <c r="G8" s="81">
        <f t="shared" si="0"/>
        <v>10118548.147500001</v>
      </c>
      <c r="H8" s="81">
        <f t="shared" si="0"/>
        <v>11838701.332575001</v>
      </c>
      <c r="I8" s="81">
        <f t="shared" si="0"/>
        <v>13851280.55911275</v>
      </c>
      <c r="J8" s="81">
        <f t="shared" si="0"/>
        <v>16205998.254161917</v>
      </c>
      <c r="K8" s="81">
        <f t="shared" si="0"/>
        <v>18961017.957369439</v>
      </c>
    </row>
    <row r="9" spans="1:11" ht="15" customHeight="1" x14ac:dyDescent="0.55000000000000004">
      <c r="B9" s="5"/>
      <c r="D9" s="6"/>
      <c r="E9" s="6"/>
      <c r="F9" s="6"/>
      <c r="G9" s="6"/>
      <c r="H9" s="6"/>
      <c r="I9" s="6"/>
      <c r="J9" s="6"/>
      <c r="K9" s="6"/>
    </row>
    <row r="10" spans="1:11" ht="15" customHeight="1" x14ac:dyDescent="0.55000000000000004">
      <c r="B10" s="5" t="s">
        <v>14</v>
      </c>
      <c r="D10" s="27">
        <v>-2127491</v>
      </c>
      <c r="E10" s="27">
        <v>-5541871</v>
      </c>
      <c r="F10" s="27">
        <v>-7017148</v>
      </c>
      <c r="G10" s="80">
        <f>-G6*G27</f>
        <v>-7285354.6661999989</v>
      </c>
      <c r="H10" s="80">
        <f>-H6*H27</f>
        <v>-8523864.9594539981</v>
      </c>
      <c r="I10" s="80">
        <f>-I6*I27</f>
        <v>-9972922.0025611781</v>
      </c>
      <c r="J10" s="80">
        <f>-J6*J27</f>
        <v>-11668318.742996579</v>
      </c>
      <c r="K10" s="80">
        <f>-K6*K27</f>
        <v>-13651932.929305995</v>
      </c>
    </row>
    <row r="11" spans="1:11" ht="15" customHeight="1" x14ac:dyDescent="0.55000000000000004">
      <c r="B11" s="5" t="s">
        <v>15</v>
      </c>
      <c r="D11" s="28">
        <v>449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</row>
    <row r="12" spans="1:11" ht="15" customHeight="1" x14ac:dyDescent="0.55000000000000004">
      <c r="B12" s="8" t="s">
        <v>16</v>
      </c>
      <c r="D12" s="81">
        <f t="shared" ref="D12:K12" si="1">SUM(D8:D11)</f>
        <v>1724242</v>
      </c>
      <c r="E12" s="81">
        <f t="shared" si="1"/>
        <v>775892</v>
      </c>
      <c r="F12" s="81">
        <f t="shared" si="1"/>
        <v>869928</v>
      </c>
      <c r="G12" s="81">
        <f t="shared" si="1"/>
        <v>2833193.481300002</v>
      </c>
      <c r="H12" s="81">
        <f t="shared" si="1"/>
        <v>3314836.3731210027</v>
      </c>
      <c r="I12" s="81">
        <f t="shared" si="1"/>
        <v>3878358.5565515719</v>
      </c>
      <c r="J12" s="81">
        <f t="shared" si="1"/>
        <v>4537679.5111653376</v>
      </c>
      <c r="K12" s="81">
        <f t="shared" si="1"/>
        <v>5309085.0280634444</v>
      </c>
    </row>
    <row r="13" spans="1:11" ht="15" customHeight="1" x14ac:dyDescent="0.55000000000000004">
      <c r="B13" s="5"/>
      <c r="D13" s="6"/>
      <c r="E13" s="6"/>
      <c r="F13" s="6"/>
      <c r="G13" s="6"/>
      <c r="H13" s="6"/>
      <c r="I13" s="6"/>
      <c r="J13" s="6"/>
      <c r="K13" s="6"/>
    </row>
    <row r="14" spans="1:11" ht="15" customHeight="1" x14ac:dyDescent="0.55000000000000004">
      <c r="B14" s="5" t="s">
        <v>17</v>
      </c>
      <c r="D14" s="28">
        <v>0</v>
      </c>
      <c r="E14" s="28">
        <v>0</v>
      </c>
      <c r="F14" s="28">
        <v>7400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</row>
    <row r="15" spans="1:11" ht="15" customHeight="1" x14ac:dyDescent="0.55000000000000004">
      <c r="B15" s="5" t="s">
        <v>18</v>
      </c>
      <c r="D15" s="27">
        <v>-94176</v>
      </c>
      <c r="E15" s="27">
        <v>-400859</v>
      </c>
      <c r="F15" s="27">
        <v>-1738151</v>
      </c>
      <c r="G15" s="79">
        <f>-(Assumptions!$C$5*(-'Balance Sheet'!F19)+(-'Balance Sheet'!F23))*Assumptions!$C$4</f>
        <v>-771965.00000000058</v>
      </c>
      <c r="H15" s="79">
        <f>-(Assumptions!$C$5*(-'Balance Sheet'!G19)+(-'Balance Sheet'!G23))*Assumptions!$C$4</f>
        <v>-442900.01943574683</v>
      </c>
      <c r="I15" s="79">
        <f>-(Assumptions!$C$5*(-'Balance Sheet'!H19)+(-'Balance Sheet'!H23))*Assumptions!$C$4</f>
        <v>-517435.68973982375</v>
      </c>
      <c r="J15" s="79">
        <f>-(Assumptions!$C$5*(-'Balance Sheet'!I19)+(-'Balance Sheet'!I23))*Assumptions!$C$4</f>
        <v>-604642.42399559391</v>
      </c>
      <c r="K15" s="79">
        <f>-(Assumptions!$C$5*(-'Balance Sheet'!J19)+(-'Balance Sheet'!J23))*Assumptions!$C$4</f>
        <v>-706674.30307484476</v>
      </c>
    </row>
    <row r="16" spans="1:11" ht="15" customHeight="1" x14ac:dyDescent="0.55000000000000004">
      <c r="B16" s="8" t="s">
        <v>19</v>
      </c>
      <c r="D16" s="81">
        <f t="shared" ref="D16:K16" si="2">SUM(D12:D15)</f>
        <v>1630066</v>
      </c>
      <c r="E16" s="81">
        <f t="shared" si="2"/>
        <v>375033</v>
      </c>
      <c r="F16" s="81">
        <f t="shared" si="2"/>
        <v>-860823</v>
      </c>
      <c r="G16" s="81">
        <f t="shared" si="2"/>
        <v>2061228.4813000015</v>
      </c>
      <c r="H16" s="81">
        <f t="shared" si="2"/>
        <v>2871936.3536852561</v>
      </c>
      <c r="I16" s="81">
        <f t="shared" si="2"/>
        <v>3360922.8668117481</v>
      </c>
      <c r="J16" s="81">
        <f t="shared" si="2"/>
        <v>3933037.0871697436</v>
      </c>
      <c r="K16" s="81">
        <f t="shared" si="2"/>
        <v>4602410.7249885993</v>
      </c>
    </row>
    <row r="17" spans="2:24" ht="15" customHeight="1" x14ac:dyDescent="0.55000000000000004">
      <c r="B17" s="5"/>
      <c r="D17" s="6"/>
      <c r="E17" s="6"/>
      <c r="F17" s="6"/>
      <c r="G17" s="6"/>
      <c r="H17" s="6"/>
      <c r="I17" s="6"/>
      <c r="J17" s="6"/>
      <c r="K17" s="6"/>
      <c r="T17" s="12" t="s">
        <v>28</v>
      </c>
      <c r="V17" s="86">
        <f>D8/D6</f>
        <v>0.26705570297662978</v>
      </c>
      <c r="W17" s="86">
        <f>E8/E6</f>
        <v>0.20992073151646404</v>
      </c>
      <c r="X17" s="86">
        <f>F8/F6</f>
        <v>0.22799414465107679</v>
      </c>
    </row>
    <row r="18" spans="2:24" ht="15" customHeight="1" x14ac:dyDescent="0.55000000000000004">
      <c r="B18" s="5" t="s">
        <v>20</v>
      </c>
      <c r="D18" s="27">
        <v>-350734</v>
      </c>
      <c r="E18" s="27">
        <v>236765</v>
      </c>
      <c r="F18" s="27">
        <v>-23678</v>
      </c>
      <c r="G18" s="80">
        <f>-G6*G28</f>
        <v>-1214225.7776999997</v>
      </c>
      <c r="H18" s="80">
        <f>-H6*H28</f>
        <v>-1420644.1599089999</v>
      </c>
      <c r="I18" s="80">
        <f>-I6*I28</f>
        <v>-1662153.6670935296</v>
      </c>
      <c r="J18" s="80">
        <f>-J6*J28</f>
        <v>-1944719.7904994297</v>
      </c>
      <c r="K18" s="80">
        <f>-K6*K28</f>
        <v>-2275322.1548843328</v>
      </c>
      <c r="T18" s="12" t="s">
        <v>29</v>
      </c>
      <c r="V18" s="86">
        <f>D12/D6</f>
        <v>0.11956237436964663</v>
      </c>
      <c r="W18" s="86">
        <f>E12/E6</f>
        <v>2.5780615103442837E-2</v>
      </c>
      <c r="X18" s="86">
        <f>F12/F6</f>
        <v>2.5147277681617612E-2</v>
      </c>
    </row>
    <row r="19" spans="2:24" ht="15" customHeight="1" x14ac:dyDescent="0.55000000000000004">
      <c r="B19" s="8" t="s">
        <v>21</v>
      </c>
      <c r="D19" s="82">
        <f t="shared" ref="D19:K19" si="3">SUM(D16:D18)</f>
        <v>1279332</v>
      </c>
      <c r="E19" s="82">
        <f t="shared" si="3"/>
        <v>611798</v>
      </c>
      <c r="F19" s="83">
        <f t="shared" si="3"/>
        <v>-884501</v>
      </c>
      <c r="G19" s="83">
        <f t="shared" si="3"/>
        <v>847002.70360000175</v>
      </c>
      <c r="H19" s="83">
        <f t="shared" si="3"/>
        <v>1451292.1937762562</v>
      </c>
      <c r="I19" s="83">
        <f t="shared" si="3"/>
        <v>1698769.1997182185</v>
      </c>
      <c r="J19" s="83">
        <f t="shared" si="3"/>
        <v>1988317.2966703139</v>
      </c>
      <c r="K19" s="83">
        <f t="shared" si="3"/>
        <v>2327088.5701042665</v>
      </c>
      <c r="T19" s="12" t="s">
        <v>30</v>
      </c>
      <c r="V19" s="86">
        <f>D16/D6</f>
        <v>0.11303202296384869</v>
      </c>
      <c r="W19" s="86">
        <f>E16/E6</f>
        <v>1.2461246441630379E-2</v>
      </c>
      <c r="X19" s="86">
        <f>F16/F6</f>
        <v>-2.4884076631311005E-2</v>
      </c>
    </row>
    <row r="20" spans="2:24" ht="15" customHeight="1" x14ac:dyDescent="0.55000000000000004">
      <c r="B20" s="5"/>
      <c r="T20" s="12" t="s">
        <v>31</v>
      </c>
      <c r="V20" s="86">
        <f>D19/D6</f>
        <v>8.871142886385365E-2</v>
      </c>
      <c r="W20" s="86">
        <f>E19/E6</f>
        <v>2.0328252848406891E-2</v>
      </c>
      <c r="X20" s="86">
        <f>F19/F6</f>
        <v>-2.5568543898654213E-2</v>
      </c>
    </row>
    <row r="21" spans="2:24" ht="14.25" customHeight="1" x14ac:dyDescent="0.45">
      <c r="B21" s="1" t="s">
        <v>22</v>
      </c>
      <c r="C21" s="1"/>
      <c r="D21" s="1"/>
      <c r="E21" s="1"/>
      <c r="F21" s="1"/>
      <c r="G21" s="1"/>
      <c r="H21" s="1"/>
      <c r="I21" s="1"/>
      <c r="J21" s="1"/>
      <c r="K21" s="1"/>
    </row>
    <row r="23" spans="2:24" ht="15.75" customHeight="1" x14ac:dyDescent="0.5">
      <c r="B23" s="10" t="s">
        <v>23</v>
      </c>
      <c r="D23" s="11"/>
      <c r="E23" s="11"/>
      <c r="F23" s="11"/>
    </row>
    <row r="24" spans="2:24" x14ac:dyDescent="0.45">
      <c r="B24" s="12" t="s">
        <v>24</v>
      </c>
      <c r="D24" s="13"/>
      <c r="E24" s="84">
        <f>E6/D6-1</f>
        <v>1.0869128362843896</v>
      </c>
      <c r="F24" s="84">
        <f>F6/E6-1</f>
        <v>0.14943477769397906</v>
      </c>
      <c r="G24" s="87">
        <v>0.17</v>
      </c>
      <c r="H24" s="87">
        <v>0.17</v>
      </c>
      <c r="I24" s="87">
        <v>0.17</v>
      </c>
      <c r="J24" s="87">
        <v>0.17</v>
      </c>
      <c r="K24" s="87">
        <v>0.17</v>
      </c>
    </row>
    <row r="25" spans="2:24" x14ac:dyDescent="0.45">
      <c r="B25" s="12" t="s">
        <v>25</v>
      </c>
      <c r="D25" s="84">
        <f>-D7/D6</f>
        <v>0.73294429702337016</v>
      </c>
      <c r="E25" s="84">
        <f>-E7/E6</f>
        <v>0.79007926848353593</v>
      </c>
      <c r="F25" s="84">
        <f>-F7/F6</f>
        <v>0.77200585534892319</v>
      </c>
      <c r="G25" s="87">
        <v>0.75</v>
      </c>
      <c r="H25" s="87">
        <v>0.75</v>
      </c>
      <c r="I25" s="87">
        <v>0.75</v>
      </c>
      <c r="J25" s="87">
        <v>0.75</v>
      </c>
      <c r="K25" s="87">
        <v>0.75</v>
      </c>
    </row>
    <row r="26" spans="2:24" x14ac:dyDescent="0.45">
      <c r="B26" s="12"/>
      <c r="D26" s="14"/>
      <c r="E26" s="14"/>
      <c r="F26" s="14"/>
      <c r="G26" s="14"/>
      <c r="H26" s="14"/>
      <c r="I26" s="14"/>
      <c r="J26" s="14"/>
      <c r="K26" s="14"/>
    </row>
    <row r="27" spans="2:24" x14ac:dyDescent="0.45">
      <c r="B27" s="12" t="s">
        <v>26</v>
      </c>
      <c r="D27" s="84">
        <f>-D10/D6</f>
        <v>0.14752446316123483</v>
      </c>
      <c r="E27" s="84">
        <f>-E10/E6</f>
        <v>0.18414011641302122</v>
      </c>
      <c r="F27" s="84">
        <f>-F10/F6</f>
        <v>0.20284686696945917</v>
      </c>
      <c r="G27" s="87">
        <v>0.18</v>
      </c>
      <c r="H27" s="87">
        <v>0.18</v>
      </c>
      <c r="I27" s="87">
        <v>0.18</v>
      </c>
      <c r="J27" s="87">
        <v>0.18</v>
      </c>
      <c r="K27" s="87">
        <v>0.18</v>
      </c>
    </row>
    <row r="28" spans="2:24" x14ac:dyDescent="0.45">
      <c r="B28" s="12" t="s">
        <v>27</v>
      </c>
      <c r="D28" s="85">
        <f>-D18/D16</f>
        <v>0.21516552090528851</v>
      </c>
      <c r="E28" s="85">
        <f>-E18/E16</f>
        <v>-0.63131777736892492</v>
      </c>
      <c r="F28" s="85">
        <f>-F18/F16</f>
        <v>-2.750623531202117E-2</v>
      </c>
      <c r="G28" s="87">
        <v>0.03</v>
      </c>
      <c r="H28" s="87">
        <v>0.03</v>
      </c>
      <c r="I28" s="87">
        <v>0.03</v>
      </c>
      <c r="J28" s="87">
        <v>0.03</v>
      </c>
      <c r="K28" s="87">
        <v>0.03</v>
      </c>
    </row>
    <row r="29" spans="2:24" x14ac:dyDescent="0.45">
      <c r="B29" s="12"/>
      <c r="D29" s="15"/>
      <c r="E29" s="15"/>
      <c r="F29" s="15"/>
      <c r="G29" s="14"/>
      <c r="H29" s="14"/>
      <c r="I29" s="14"/>
      <c r="J29" s="14"/>
      <c r="K29" s="14"/>
    </row>
    <row r="30" spans="2:24" x14ac:dyDescent="0.45">
      <c r="G30" s="14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zoomScaleNormal="100" workbookViewId="0">
      <selection sqref="A1:K1"/>
    </sheetView>
  </sheetViews>
  <sheetFormatPr defaultColWidth="8.6640625" defaultRowHeight="14.25" x14ac:dyDescent="0.45"/>
  <cols>
    <col min="1" max="1" width="3.6640625" customWidth="1"/>
    <col min="2" max="2" width="42.53125" customWidth="1"/>
    <col min="3" max="3" width="9" customWidth="1"/>
    <col min="4" max="5" width="13.59765625" customWidth="1"/>
    <col min="6" max="6" width="14.33203125" customWidth="1"/>
    <col min="7" max="11" width="13.6640625" customWidth="1"/>
  </cols>
  <sheetData>
    <row r="1" spans="1:14" ht="45.75" customHeight="1" x14ac:dyDescent="1.3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4" ht="20.25" customHeight="1" x14ac:dyDescent="0.45"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</row>
    <row r="4" spans="1:14" x14ac:dyDescent="0.45">
      <c r="B4" s="2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6" spans="1:14" ht="15.75" customHeight="1" x14ac:dyDescent="0.55000000000000004">
      <c r="B6" s="16" t="s">
        <v>33</v>
      </c>
      <c r="D6" s="6"/>
      <c r="E6" s="6"/>
      <c r="F6" s="6"/>
      <c r="G6" s="6"/>
      <c r="H6" s="6"/>
      <c r="I6" s="6"/>
      <c r="J6" s="6"/>
      <c r="K6" s="6"/>
    </row>
    <row r="7" spans="1:14" ht="15" customHeight="1" x14ac:dyDescent="0.55000000000000004">
      <c r="B7" s="5" t="s">
        <v>34</v>
      </c>
      <c r="D7" s="27">
        <v>0</v>
      </c>
      <c r="E7" s="27">
        <v>23480</v>
      </c>
      <c r="F7" s="27">
        <v>21051</v>
      </c>
      <c r="G7" s="30">
        <f>'Dep CapEx'!G17</f>
        <v>18873.279429301532</v>
      </c>
      <c r="H7" s="30">
        <f>'Dep CapEx'!H17</f>
        <v>16920.843495154451</v>
      </c>
      <c r="I7" s="30">
        <f>'Dep CapEx'!I17</f>
        <v>15170.386559475995</v>
      </c>
      <c r="J7" s="30">
        <f>'Dep CapEx'!J17</f>
        <v>13601.013946487614</v>
      </c>
      <c r="K7" s="30">
        <f>'Dep CapEx'!K17</f>
        <v>12193.992529280697</v>
      </c>
      <c r="L7" s="7"/>
      <c r="M7" s="7"/>
      <c r="N7" s="7"/>
    </row>
    <row r="8" spans="1:14" ht="15" customHeight="1" x14ac:dyDescent="0.55000000000000004">
      <c r="B8" s="5" t="s">
        <v>35</v>
      </c>
      <c r="D8" s="28">
        <v>1330925</v>
      </c>
      <c r="E8" s="28">
        <v>2784355</v>
      </c>
      <c r="F8" s="28">
        <v>1407186</v>
      </c>
      <c r="G8" s="30">
        <f>'Dep CapEx'!G13-'Balance Sheet'!G9-'Balance Sheet'!G10</f>
        <v>1409363.7205706984</v>
      </c>
      <c r="H8" s="30">
        <f>'Dep CapEx'!H13-'Balance Sheet'!H9-'Balance Sheet'!H10</f>
        <v>1411316.1565048455</v>
      </c>
      <c r="I8" s="30">
        <f>'Dep CapEx'!I13-'Balance Sheet'!I9-'Balance Sheet'!I10</f>
        <v>1413066.6134405239</v>
      </c>
      <c r="J8" s="30">
        <f>'Dep CapEx'!J13-'Balance Sheet'!J9-'Balance Sheet'!J10</f>
        <v>1414635.9860535124</v>
      </c>
      <c r="K8" s="30">
        <f>'Dep CapEx'!K13-'Balance Sheet'!K9-'Balance Sheet'!K10</f>
        <v>1416043.0074707193</v>
      </c>
    </row>
    <row r="9" spans="1:14" ht="15" customHeight="1" x14ac:dyDescent="0.55000000000000004">
      <c r="B9" s="5" t="s">
        <v>36</v>
      </c>
      <c r="D9" s="28">
        <v>153712</v>
      </c>
      <c r="E9" s="28">
        <v>153712</v>
      </c>
      <c r="F9" s="28">
        <v>153712</v>
      </c>
      <c r="G9" s="28">
        <v>153712</v>
      </c>
      <c r="H9" s="28">
        <v>153712</v>
      </c>
      <c r="I9" s="28">
        <v>153712</v>
      </c>
      <c r="J9" s="28">
        <v>153712</v>
      </c>
      <c r="K9" s="28">
        <v>153712</v>
      </c>
    </row>
    <row r="10" spans="1:14" ht="15" customHeight="1" x14ac:dyDescent="0.55000000000000004">
      <c r="B10" s="5" t="s">
        <v>37</v>
      </c>
      <c r="D10" s="27">
        <v>0</v>
      </c>
      <c r="E10" s="27">
        <v>15000</v>
      </c>
      <c r="F10" s="27">
        <v>15000</v>
      </c>
      <c r="G10" s="27">
        <v>15000</v>
      </c>
      <c r="H10" s="27">
        <v>15000</v>
      </c>
      <c r="I10" s="27">
        <v>15000</v>
      </c>
      <c r="J10" s="27">
        <v>15000</v>
      </c>
      <c r="K10" s="27">
        <v>15000</v>
      </c>
    </row>
    <row r="11" spans="1:14" s="17" customFormat="1" ht="15" customHeight="1" x14ac:dyDescent="0.55000000000000004">
      <c r="B11" s="8" t="s">
        <v>38</v>
      </c>
      <c r="D11" s="31">
        <f t="shared" ref="D11:K11" si="0">SUM(D7:D10)</f>
        <v>1484637</v>
      </c>
      <c r="E11" s="31">
        <f t="shared" si="0"/>
        <v>2976547</v>
      </c>
      <c r="F11" s="31">
        <f t="shared" si="0"/>
        <v>1596949</v>
      </c>
      <c r="G11" s="31">
        <f t="shared" si="0"/>
        <v>1596949</v>
      </c>
      <c r="H11" s="31">
        <f t="shared" si="0"/>
        <v>1596949</v>
      </c>
      <c r="I11" s="31">
        <f t="shared" si="0"/>
        <v>1596948.9999999998</v>
      </c>
      <c r="J11" s="31">
        <f t="shared" si="0"/>
        <v>1596949</v>
      </c>
      <c r="K11" s="31">
        <f t="shared" si="0"/>
        <v>1596949</v>
      </c>
    </row>
    <row r="12" spans="1:14" ht="15" customHeight="1" x14ac:dyDescent="0.55000000000000004">
      <c r="B12" s="5"/>
      <c r="D12" s="6"/>
      <c r="E12" s="6"/>
      <c r="F12" s="6"/>
      <c r="G12" s="6"/>
      <c r="H12" s="6"/>
      <c r="I12" s="6"/>
      <c r="J12" s="6"/>
      <c r="K12" s="6"/>
    </row>
    <row r="13" spans="1:14" ht="15.75" customHeight="1" x14ac:dyDescent="0.55000000000000004">
      <c r="B13" s="16" t="s">
        <v>39</v>
      </c>
      <c r="D13" s="18"/>
      <c r="E13" s="18"/>
      <c r="F13" s="18"/>
      <c r="G13" s="18"/>
      <c r="H13" s="18"/>
      <c r="I13" s="18"/>
      <c r="J13" s="18"/>
      <c r="K13" s="18"/>
    </row>
    <row r="14" spans="1:14" ht="15" customHeight="1" x14ac:dyDescent="0.55000000000000004">
      <c r="B14" s="5" t="s">
        <v>40</v>
      </c>
      <c r="D14" s="28">
        <v>846272</v>
      </c>
      <c r="E14" s="28">
        <v>2124876</v>
      </c>
      <c r="F14" s="28">
        <v>5828041</v>
      </c>
      <c r="G14" s="32">
        <f>'Working Capital'!G7</f>
        <v>5156301.2477671225</v>
      </c>
      <c r="H14" s="32">
        <f>'Working Capital'!H7</f>
        <v>6032872.4598875334</v>
      </c>
      <c r="I14" s="32">
        <f>'Working Capital'!I7</f>
        <v>7058460.7780684149</v>
      </c>
      <c r="J14" s="32">
        <f>'Working Capital'!J7</f>
        <v>8258399.1103400448</v>
      </c>
      <c r="K14" s="32">
        <f>'Working Capital'!K7</f>
        <v>9662326.9590978511</v>
      </c>
    </row>
    <row r="15" spans="1:14" ht="15" customHeight="1" x14ac:dyDescent="0.55000000000000004">
      <c r="B15" s="5" t="s">
        <v>41</v>
      </c>
      <c r="D15" s="28">
        <v>536545</v>
      </c>
      <c r="E15" s="28">
        <v>3534567</v>
      </c>
      <c r="F15" s="28">
        <v>11670285</v>
      </c>
      <c r="G15" s="32">
        <f>'Working Capital'!G6</f>
        <v>6653291.932602739</v>
      </c>
      <c r="H15" s="32">
        <f>'Working Capital'!H6</f>
        <v>7784351.5611452051</v>
      </c>
      <c r="I15" s="32">
        <f>'Working Capital'!I6</f>
        <v>9107691.326539889</v>
      </c>
      <c r="J15" s="32">
        <f>'Working Capital'!J6</f>
        <v>10655998.85205167</v>
      </c>
      <c r="K15" s="32">
        <f>'Working Capital'!K6</f>
        <v>12467518.656900454</v>
      </c>
    </row>
    <row r="16" spans="1:14" ht="15" customHeight="1" x14ac:dyDescent="0.55000000000000004">
      <c r="B16" s="5" t="s">
        <v>42</v>
      </c>
      <c r="D16" s="27">
        <v>1628512</v>
      </c>
      <c r="E16" s="27">
        <v>1398323</v>
      </c>
      <c r="F16" s="27">
        <v>704228</v>
      </c>
      <c r="G16" s="30">
        <f>'Cash Flow Statement'!G39</f>
        <v>-499924.98123561405</v>
      </c>
      <c r="H16" s="30">
        <f>'Cash Flow Statement'!H39</f>
        <v>696878.79611858679</v>
      </c>
      <c r="I16" s="30">
        <f>'Cash Flow Statement'!I39</f>
        <v>2097896.5486230031</v>
      </c>
      <c r="J16" s="30">
        <f>'Cash Flow Statement'!J39</f>
        <v>3737844.6520531666</v>
      </c>
      <c r="K16" s="30">
        <f>'Cash Flow Statement'!K39</f>
        <v>5657341.2660664553</v>
      </c>
    </row>
    <row r="17" spans="2:11" s="17" customFormat="1" ht="15" customHeight="1" x14ac:dyDescent="0.55000000000000004">
      <c r="B17" s="8" t="s">
        <v>43</v>
      </c>
      <c r="D17" s="31">
        <f t="shared" ref="D17:K17" si="1">SUM(D14:D16)</f>
        <v>3011329</v>
      </c>
      <c r="E17" s="31">
        <f t="shared" si="1"/>
        <v>7057766</v>
      </c>
      <c r="F17" s="31">
        <f t="shared" si="1"/>
        <v>18202554</v>
      </c>
      <c r="G17" s="31">
        <f t="shared" si="1"/>
        <v>11309668.199134247</v>
      </c>
      <c r="H17" s="31">
        <f t="shared" si="1"/>
        <v>14514102.817151327</v>
      </c>
      <c r="I17" s="31">
        <f t="shared" si="1"/>
        <v>18264048.653231308</v>
      </c>
      <c r="J17" s="31">
        <f t="shared" si="1"/>
        <v>22652242.614444882</v>
      </c>
      <c r="K17" s="31">
        <f t="shared" si="1"/>
        <v>27787186.88206476</v>
      </c>
    </row>
    <row r="18" spans="2:11" ht="15" customHeight="1" x14ac:dyDescent="0.55000000000000004">
      <c r="B18" s="5"/>
      <c r="D18" s="6"/>
      <c r="E18" s="6"/>
      <c r="F18" s="6"/>
      <c r="G18" s="6"/>
      <c r="H18" s="6"/>
      <c r="I18" s="6"/>
      <c r="J18" s="6"/>
      <c r="K18" s="6"/>
    </row>
    <row r="19" spans="2:11" ht="15" customHeight="1" x14ac:dyDescent="0.55000000000000004">
      <c r="B19" s="5" t="s">
        <v>44</v>
      </c>
      <c r="D19" s="27">
        <v>-2036697</v>
      </c>
      <c r="E19" s="27">
        <v>-7171027</v>
      </c>
      <c r="F19" s="27">
        <v>-18052491</v>
      </c>
      <c r="G19" s="30">
        <f>-'Working Capital'!G8</f>
        <v>-10312602.495534245</v>
      </c>
      <c r="H19" s="30">
        <f>-'Working Capital'!H8</f>
        <v>-12065744.919775067</v>
      </c>
      <c r="I19" s="30">
        <f>-'Working Capital'!I8</f>
        <v>-14116921.55613683</v>
      </c>
      <c r="J19" s="30">
        <f>-'Working Capital'!J8</f>
        <v>-16516798.22068009</v>
      </c>
      <c r="K19" s="30">
        <f>-'Working Capital'!K8</f>
        <v>-19324653.918195702</v>
      </c>
    </row>
    <row r="20" spans="2:11" ht="15" customHeight="1" x14ac:dyDescent="0.55000000000000004">
      <c r="B20" s="8" t="s">
        <v>45</v>
      </c>
      <c r="D20" s="30">
        <f t="shared" ref="D20:K20" si="2">D17+D19</f>
        <v>974632</v>
      </c>
      <c r="E20" s="30">
        <f t="shared" si="2"/>
        <v>-113261</v>
      </c>
      <c r="F20" s="30">
        <f t="shared" si="2"/>
        <v>150063</v>
      </c>
      <c r="G20" s="30">
        <f t="shared" si="2"/>
        <v>997065.70360000245</v>
      </c>
      <c r="H20" s="30">
        <f t="shared" si="2"/>
        <v>2448357.8973762598</v>
      </c>
      <c r="I20" s="30">
        <f t="shared" si="2"/>
        <v>4147127.0970944781</v>
      </c>
      <c r="J20" s="30">
        <f t="shared" si="2"/>
        <v>6135444.393764792</v>
      </c>
      <c r="K20" s="30">
        <f t="shared" si="2"/>
        <v>8462532.9638690576</v>
      </c>
    </row>
    <row r="21" spans="2:11" s="17" customFormat="1" ht="15" customHeight="1" x14ac:dyDescent="0.55000000000000004">
      <c r="B21" s="8" t="s">
        <v>46</v>
      </c>
      <c r="D21" s="33">
        <f t="shared" ref="D21:K21" si="3">D11+D17+D19</f>
        <v>2459269</v>
      </c>
      <c r="E21" s="33">
        <f t="shared" si="3"/>
        <v>2863286</v>
      </c>
      <c r="F21" s="33">
        <f t="shared" si="3"/>
        <v>1747012</v>
      </c>
      <c r="G21" s="33">
        <f t="shared" si="3"/>
        <v>2594014.7036000025</v>
      </c>
      <c r="H21" s="33">
        <f t="shared" si="3"/>
        <v>4045306.8973762598</v>
      </c>
      <c r="I21" s="33">
        <f t="shared" si="3"/>
        <v>5744076.0970944781</v>
      </c>
      <c r="J21" s="33">
        <f t="shared" si="3"/>
        <v>7732393.393764792</v>
      </c>
      <c r="K21" s="33">
        <f t="shared" si="3"/>
        <v>10059481.963869058</v>
      </c>
    </row>
    <row r="22" spans="2:11" x14ac:dyDescent="0.45">
      <c r="D22" s="19"/>
      <c r="E22" s="19"/>
      <c r="F22" s="19"/>
      <c r="G22" s="19"/>
      <c r="H22" s="19"/>
      <c r="I22" s="19"/>
      <c r="J22" s="19"/>
      <c r="K22" s="19"/>
    </row>
    <row r="23" spans="2:11" ht="15" customHeight="1" x14ac:dyDescent="0.55000000000000004">
      <c r="B23" s="5" t="s">
        <v>47</v>
      </c>
      <c r="D23" s="29">
        <v>0</v>
      </c>
      <c r="E23" s="29">
        <v>0</v>
      </c>
      <c r="F23" s="29">
        <v>-44549</v>
      </c>
      <c r="G23" s="34">
        <f>-Assumptions!$C$9</f>
        <v>-44549</v>
      </c>
      <c r="H23" s="34">
        <f>-Assumptions!$C$9</f>
        <v>-44549</v>
      </c>
      <c r="I23" s="34">
        <f>-Assumptions!$C$9</f>
        <v>-44549</v>
      </c>
      <c r="J23" s="34">
        <f>-Assumptions!$C$9</f>
        <v>-44549</v>
      </c>
      <c r="K23" s="34">
        <f>-Assumptions!$C$9</f>
        <v>-44549</v>
      </c>
    </row>
    <row r="24" spans="2:11" ht="15" customHeight="1" x14ac:dyDescent="0.55000000000000004">
      <c r="B24" s="8" t="s">
        <v>48</v>
      </c>
      <c r="D24" s="29">
        <v>-166466</v>
      </c>
      <c r="E24" s="29">
        <v>-292503</v>
      </c>
      <c r="F24" s="29">
        <v>-16181</v>
      </c>
      <c r="G24" s="34">
        <f>-Assumptions!$C$10</f>
        <v>-16181</v>
      </c>
      <c r="H24" s="34">
        <f>-Assumptions!$C$10</f>
        <v>-16181</v>
      </c>
      <c r="I24" s="34">
        <f>-Assumptions!$C$10</f>
        <v>-16181</v>
      </c>
      <c r="J24" s="34">
        <f>-Assumptions!$C$10</f>
        <v>-16181</v>
      </c>
      <c r="K24" s="34">
        <f>-Assumptions!$C$10</f>
        <v>-16181</v>
      </c>
    </row>
    <row r="25" spans="2:11" s="17" customFormat="1" ht="15" customHeight="1" x14ac:dyDescent="0.55000000000000004">
      <c r="B25" s="8" t="s">
        <v>49</v>
      </c>
      <c r="D25" s="33">
        <f t="shared" ref="D25:K25" si="4">D21+D24+D23</f>
        <v>2292803</v>
      </c>
      <c r="E25" s="33">
        <f t="shared" si="4"/>
        <v>2570783</v>
      </c>
      <c r="F25" s="33">
        <f t="shared" si="4"/>
        <v>1686282</v>
      </c>
      <c r="G25" s="33">
        <f t="shared" si="4"/>
        <v>2533284.7036000025</v>
      </c>
      <c r="H25" s="33">
        <f t="shared" si="4"/>
        <v>3984576.8973762598</v>
      </c>
      <c r="I25" s="33">
        <f t="shared" si="4"/>
        <v>5683346.0970944781</v>
      </c>
      <c r="J25" s="33">
        <f t="shared" si="4"/>
        <v>7671663.393764792</v>
      </c>
      <c r="K25" s="33">
        <f t="shared" si="4"/>
        <v>9998751.9638690576</v>
      </c>
    </row>
    <row r="26" spans="2:11" x14ac:dyDescent="0.45">
      <c r="D26" s="19"/>
      <c r="E26" s="19"/>
      <c r="F26" s="19"/>
      <c r="G26" s="19"/>
      <c r="H26" s="19"/>
      <c r="I26" s="19"/>
      <c r="J26" s="19"/>
      <c r="K26" s="19"/>
    </row>
    <row r="27" spans="2:11" ht="15.75" customHeight="1" x14ac:dyDescent="0.55000000000000004">
      <c r="B27" s="16" t="s">
        <v>50</v>
      </c>
      <c r="D27" s="19"/>
      <c r="E27" s="19"/>
      <c r="F27" s="19"/>
      <c r="G27" s="19"/>
      <c r="H27" s="19"/>
      <c r="I27" s="19"/>
      <c r="J27" s="19"/>
      <c r="K27" s="19"/>
    </row>
    <row r="28" spans="2:11" ht="15" customHeight="1" x14ac:dyDescent="0.55000000000000004">
      <c r="B28" s="5" t="s">
        <v>51</v>
      </c>
      <c r="D28" s="29">
        <v>100</v>
      </c>
      <c r="E28" s="29">
        <v>100</v>
      </c>
      <c r="F28" s="29">
        <v>100</v>
      </c>
      <c r="G28" s="29">
        <v>100</v>
      </c>
      <c r="H28" s="29">
        <v>100</v>
      </c>
      <c r="I28" s="29">
        <v>100</v>
      </c>
      <c r="J28" s="29">
        <v>100</v>
      </c>
      <c r="K28" s="29">
        <v>100</v>
      </c>
    </row>
    <row r="29" spans="2:11" ht="15" customHeight="1" x14ac:dyDescent="0.55000000000000004">
      <c r="B29" s="5" t="s">
        <v>52</v>
      </c>
      <c r="D29" s="29">
        <v>2292703</v>
      </c>
      <c r="E29" s="29">
        <v>2570683</v>
      </c>
      <c r="F29" s="29">
        <v>1686182</v>
      </c>
      <c r="G29" s="34">
        <f>F29+'Income Statement'!G19+'Cash Flow Statement'!G34</f>
        <v>2533184.7036000015</v>
      </c>
      <c r="H29" s="34">
        <f>G29+'Income Statement'!H19+'Cash Flow Statement'!H34</f>
        <v>3984476.8973762579</v>
      </c>
      <c r="I29" s="34">
        <f>H29+'Income Statement'!I19+'Cash Flow Statement'!I34</f>
        <v>5683246.0970944762</v>
      </c>
      <c r="J29" s="34">
        <f>I29+'Income Statement'!J19+'Cash Flow Statement'!J34</f>
        <v>7671563.3937647901</v>
      </c>
      <c r="K29" s="34">
        <f>J29+'Income Statement'!K19+'Cash Flow Statement'!K34</f>
        <v>9998651.9638690576</v>
      </c>
    </row>
    <row r="30" spans="2:11" s="17" customFormat="1" ht="15.75" customHeight="1" x14ac:dyDescent="0.55000000000000004">
      <c r="B30" s="16" t="s">
        <v>53</v>
      </c>
      <c r="D30" s="33">
        <f t="shared" ref="D30:K30" si="5">SUM(D28:D29)</f>
        <v>2292803</v>
      </c>
      <c r="E30" s="33">
        <f t="shared" si="5"/>
        <v>2570783</v>
      </c>
      <c r="F30" s="33">
        <f t="shared" si="5"/>
        <v>1686282</v>
      </c>
      <c r="G30" s="33">
        <f t="shared" si="5"/>
        <v>2533284.7036000015</v>
      </c>
      <c r="H30" s="33">
        <f t="shared" si="5"/>
        <v>3984576.8973762579</v>
      </c>
      <c r="I30" s="33">
        <f t="shared" si="5"/>
        <v>5683346.0970944762</v>
      </c>
      <c r="J30" s="33">
        <f t="shared" si="5"/>
        <v>7671663.3937647901</v>
      </c>
      <c r="K30" s="33">
        <f t="shared" si="5"/>
        <v>9998751.9638690576</v>
      </c>
    </row>
    <row r="32" spans="2:11" x14ac:dyDescent="0.45">
      <c r="B32" s="36" t="s">
        <v>54</v>
      </c>
      <c r="C32" s="36"/>
      <c r="D32" s="37">
        <f t="shared" ref="D32:K32" si="6">D25-D30</f>
        <v>0</v>
      </c>
      <c r="E32" s="37">
        <f t="shared" si="6"/>
        <v>0</v>
      </c>
      <c r="F32" s="37">
        <f t="shared" si="6"/>
        <v>0</v>
      </c>
      <c r="G32" s="37">
        <f t="shared" si="6"/>
        <v>0</v>
      </c>
      <c r="H32" s="37">
        <f t="shared" si="6"/>
        <v>0</v>
      </c>
      <c r="I32" s="37">
        <f t="shared" si="6"/>
        <v>0</v>
      </c>
      <c r="J32" s="37">
        <f t="shared" si="6"/>
        <v>0</v>
      </c>
      <c r="K32" s="37">
        <f t="shared" si="6"/>
        <v>0</v>
      </c>
    </row>
    <row r="36" spans="2:6" x14ac:dyDescent="0.45">
      <c r="B36" s="38" t="s">
        <v>55</v>
      </c>
      <c r="C36" s="39"/>
      <c r="D36" s="39"/>
      <c r="E36" s="39"/>
      <c r="F36" s="40"/>
    </row>
    <row r="37" spans="2:6" x14ac:dyDescent="0.45">
      <c r="B37" s="41" t="s">
        <v>56</v>
      </c>
      <c r="D37" s="42">
        <f>-D17/D19</f>
        <v>1.478535589731806</v>
      </c>
      <c r="E37" s="42">
        <f>-E17/E19</f>
        <v>0.98420574905100766</v>
      </c>
      <c r="F37" s="43">
        <f>-F17/F19</f>
        <v>1.00831259242838</v>
      </c>
    </row>
    <row r="38" spans="2:6" x14ac:dyDescent="0.45">
      <c r="B38" s="41" t="s">
        <v>57</v>
      </c>
      <c r="D38" s="42">
        <f>-(D17-D14)/D19</f>
        <v>1.0630236112686373</v>
      </c>
      <c r="E38" s="42">
        <f>-(E17-E14)/E19</f>
        <v>0.68789170644595254</v>
      </c>
      <c r="F38" s="43">
        <f>-(F17-F14)/F19</f>
        <v>0.685473988049627</v>
      </c>
    </row>
    <row r="39" spans="2:6" x14ac:dyDescent="0.45">
      <c r="B39" s="41" t="s">
        <v>58</v>
      </c>
      <c r="D39" s="44">
        <f>-D16/D19</f>
        <v>0.7995848179675229</v>
      </c>
      <c r="E39" s="44">
        <f>-E16/E19</f>
        <v>0.19499619789466696</v>
      </c>
      <c r="F39" s="45">
        <f>-F16/F19</f>
        <v>3.9010018063435126E-2</v>
      </c>
    </row>
    <row r="40" spans="2:6" x14ac:dyDescent="0.45">
      <c r="B40" s="41"/>
      <c r="F40" s="46"/>
    </row>
    <row r="41" spans="2:6" x14ac:dyDescent="0.45">
      <c r="B41" s="47" t="s">
        <v>59</v>
      </c>
      <c r="F41" s="46"/>
    </row>
    <row r="42" spans="2:6" x14ac:dyDescent="0.45">
      <c r="B42" s="41" t="s">
        <v>60</v>
      </c>
      <c r="D42" s="44">
        <f>-(D19+D23+D24)/D30</f>
        <v>0.9609037496897902</v>
      </c>
      <c r="E42" s="44">
        <f>-(E19+E23+E24)/E30</f>
        <v>2.903212756580388</v>
      </c>
      <c r="F42" s="45">
        <f>-(F19+F23+F24)/F30</f>
        <v>10.741513578393175</v>
      </c>
    </row>
    <row r="43" spans="2:6" x14ac:dyDescent="0.45">
      <c r="B43" s="41"/>
      <c r="F43" s="46"/>
    </row>
    <row r="44" spans="2:6" x14ac:dyDescent="0.45">
      <c r="B44" s="48" t="s">
        <v>61</v>
      </c>
      <c r="C44" s="3"/>
      <c r="D44" s="49">
        <f>'Income Statement'!D19/'Balance Sheet'!D30</f>
        <v>0.55797728806181779</v>
      </c>
      <c r="E44" s="49">
        <f>'Income Statement'!E19/'Balance Sheet'!E30</f>
        <v>0.23798119094454881</v>
      </c>
      <c r="F44" s="50">
        <f>'Income Statement'!F19/'Balance Sheet'!F30</f>
        <v>-0.52452733291347475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showGridLines="0" zoomScaleNormal="100" workbookViewId="0">
      <selection sqref="A1:K1"/>
    </sheetView>
  </sheetViews>
  <sheetFormatPr defaultColWidth="8.6640625" defaultRowHeight="14.25" x14ac:dyDescent="0.45"/>
  <cols>
    <col min="1" max="1" width="4" customWidth="1"/>
    <col min="2" max="2" width="42.796875" customWidth="1"/>
    <col min="4" max="4" width="12.06640625" customWidth="1"/>
    <col min="5" max="5" width="11.06640625" customWidth="1"/>
    <col min="6" max="6" width="11.6640625" customWidth="1"/>
    <col min="7" max="11" width="12.6640625" customWidth="1"/>
  </cols>
  <sheetData>
    <row r="1" spans="1:11" ht="45.75" customHeight="1" x14ac:dyDescent="1.3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20.25" customHeight="1" x14ac:dyDescent="0.45">
      <c r="B2" s="1" t="s">
        <v>62</v>
      </c>
      <c r="C2" s="1"/>
      <c r="D2" s="1"/>
      <c r="E2" s="1"/>
      <c r="F2" s="1"/>
      <c r="G2" s="1"/>
      <c r="H2" s="1"/>
      <c r="I2" s="1"/>
      <c r="J2" s="1"/>
      <c r="K2" s="1"/>
    </row>
    <row r="4" spans="1:11" x14ac:dyDescent="0.45">
      <c r="B4" s="2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x14ac:dyDescent="0.45">
      <c r="D5" s="6"/>
      <c r="E5" s="6"/>
      <c r="F5" s="6"/>
      <c r="G5" s="6"/>
      <c r="H5" s="6"/>
      <c r="I5" s="6"/>
      <c r="J5" s="6"/>
      <c r="K5" s="6"/>
    </row>
    <row r="6" spans="1:11" x14ac:dyDescent="0.45">
      <c r="B6" s="17" t="s">
        <v>63</v>
      </c>
      <c r="D6" s="6"/>
      <c r="E6" s="6"/>
      <c r="F6" s="6"/>
      <c r="G6" s="6"/>
      <c r="H6" s="6"/>
      <c r="I6" s="6"/>
      <c r="J6" s="6"/>
      <c r="K6" s="6"/>
    </row>
    <row r="7" spans="1:11" x14ac:dyDescent="0.45">
      <c r="B7" t="s">
        <v>64</v>
      </c>
      <c r="D7" s="20"/>
      <c r="E7" s="20"/>
      <c r="F7" s="20"/>
      <c r="G7" s="32">
        <f>'Income Statement'!G19</f>
        <v>847002.70360000175</v>
      </c>
      <c r="H7" s="32">
        <f>'Income Statement'!H19</f>
        <v>1451292.1937762562</v>
      </c>
      <c r="I7" s="32">
        <f>'Income Statement'!I19</f>
        <v>1698769.1997182185</v>
      </c>
      <c r="J7" s="32">
        <f>'Income Statement'!J19</f>
        <v>1988317.2966703139</v>
      </c>
      <c r="K7" s="32">
        <f>'Income Statement'!K19</f>
        <v>2327088.5701042665</v>
      </c>
    </row>
    <row r="8" spans="1:11" x14ac:dyDescent="0.45">
      <c r="B8" s="17" t="s">
        <v>65</v>
      </c>
      <c r="D8" s="20"/>
      <c r="E8" s="20"/>
      <c r="F8" s="20"/>
      <c r="G8" s="6"/>
      <c r="H8" s="6"/>
      <c r="I8" s="6"/>
      <c r="J8" s="6"/>
      <c r="K8" s="6"/>
    </row>
    <row r="9" spans="1:11" x14ac:dyDescent="0.45">
      <c r="B9" t="s">
        <v>66</v>
      </c>
      <c r="D9" s="20"/>
      <c r="E9" s="20"/>
      <c r="F9" s="20"/>
      <c r="G9" s="32">
        <f>'Dep CapEx'!G7+('Balance Sheet'!F7-'Balance Sheet'!G7)</f>
        <v>285497.06870069844</v>
      </c>
      <c r="H9" s="32">
        <f>'Dep CapEx'!H7+('Balance Sheet'!G7-'Balance Sheet'!H7)</f>
        <v>333436.07324624708</v>
      </c>
      <c r="I9" s="32">
        <f>'Dep CapEx'!I7+('Balance Sheet'!H7-'Balance Sheet'!I7)</f>
        <v>389586.31259083538</v>
      </c>
      <c r="J9" s="32">
        <f>'Dep CapEx'!J7+('Balance Sheet'!I7-'Balance Sheet'!J7)</f>
        <v>455337.323729522</v>
      </c>
      <c r="K9" s="32">
        <f>'Dep CapEx'!K7+('Balance Sheet'!J7-'Balance Sheet'!K7)</f>
        <v>532315.52422355127</v>
      </c>
    </row>
    <row r="10" spans="1:11" x14ac:dyDescent="0.45">
      <c r="B10" t="s">
        <v>67</v>
      </c>
      <c r="D10" s="20"/>
      <c r="E10" s="20"/>
      <c r="F10" s="20"/>
      <c r="G10" s="32">
        <f>-'Income Statement'!G15</f>
        <v>771965.00000000058</v>
      </c>
      <c r="H10" s="32">
        <f>-'Income Statement'!H15</f>
        <v>442900.01943574683</v>
      </c>
      <c r="I10" s="32">
        <f>-'Income Statement'!I15</f>
        <v>517435.68973982375</v>
      </c>
      <c r="J10" s="32">
        <f>-'Income Statement'!J15</f>
        <v>604642.42399559391</v>
      </c>
      <c r="K10" s="32">
        <f>-'Income Statement'!K15</f>
        <v>706674.30307484476</v>
      </c>
    </row>
    <row r="11" spans="1:11" x14ac:dyDescent="0.45">
      <c r="B11" t="s">
        <v>68</v>
      </c>
      <c r="D11" s="20"/>
      <c r="E11" s="20"/>
      <c r="F11" s="20"/>
      <c r="G11" s="32">
        <f>-'Income Statement'!G18</f>
        <v>1214225.7776999997</v>
      </c>
      <c r="H11" s="32">
        <f>-'Income Statement'!H18</f>
        <v>1420644.1599089999</v>
      </c>
      <c r="I11" s="32">
        <f>-'Income Statement'!I18</f>
        <v>1662153.6670935296</v>
      </c>
      <c r="J11" s="32">
        <f>-'Income Statement'!J18</f>
        <v>1944719.7904994297</v>
      </c>
      <c r="K11" s="32">
        <f>-'Income Statement'!K18</f>
        <v>2275322.1548843328</v>
      </c>
    </row>
    <row r="12" spans="1:11" x14ac:dyDescent="0.45">
      <c r="D12" s="6"/>
      <c r="E12" s="6"/>
      <c r="F12" s="6"/>
      <c r="G12" s="6"/>
      <c r="H12" s="6"/>
      <c r="I12" s="6"/>
      <c r="J12" s="6"/>
      <c r="K12" s="6"/>
    </row>
    <row r="13" spans="1:11" x14ac:dyDescent="0.45">
      <c r="D13" s="6"/>
      <c r="E13" s="6"/>
      <c r="F13" s="6"/>
      <c r="G13" s="6"/>
      <c r="H13" s="6"/>
      <c r="I13" s="6"/>
      <c r="J13" s="6"/>
      <c r="K13" s="6"/>
    </row>
    <row r="14" spans="1:11" x14ac:dyDescent="0.45">
      <c r="B14" s="17" t="s">
        <v>69</v>
      </c>
      <c r="D14" s="6"/>
      <c r="E14" s="6"/>
      <c r="F14" s="6"/>
      <c r="G14" s="6"/>
      <c r="H14" s="6"/>
      <c r="I14" s="6"/>
      <c r="J14" s="6"/>
      <c r="K14" s="6"/>
    </row>
    <row r="15" spans="1:11" x14ac:dyDescent="0.45">
      <c r="B15" t="s">
        <v>70</v>
      </c>
      <c r="D15" s="20"/>
      <c r="E15" s="20"/>
      <c r="F15" s="20"/>
      <c r="G15" s="32">
        <f>'Working Capital'!F7-'Working Capital'!G7</f>
        <v>671739.75223287754</v>
      </c>
      <c r="H15" s="32">
        <f>'Working Capital'!G7-'Working Capital'!H7</f>
        <v>-876571.21212041099</v>
      </c>
      <c r="I15" s="32">
        <f>'Working Capital'!H7-'Working Capital'!I7</f>
        <v>-1025588.3181808814</v>
      </c>
      <c r="J15" s="32">
        <f>'Working Capital'!I7-'Working Capital'!J7</f>
        <v>-1199938.3322716299</v>
      </c>
      <c r="K15" s="32">
        <f>'Working Capital'!J7-'Working Capital'!K7</f>
        <v>-1403927.8487578062</v>
      </c>
    </row>
    <row r="16" spans="1:11" x14ac:dyDescent="0.45">
      <c r="B16" t="s">
        <v>71</v>
      </c>
      <c r="D16" s="20"/>
      <c r="E16" s="20"/>
      <c r="F16" s="20"/>
      <c r="G16" s="32">
        <f>'Working Capital'!F6-'Working Capital'!G6</f>
        <v>5016993.067397261</v>
      </c>
      <c r="H16" s="32">
        <f>'Working Capital'!G6-'Working Capital'!H6</f>
        <v>-1131059.6285424661</v>
      </c>
      <c r="I16" s="32">
        <f>'Working Capital'!H6-'Working Capital'!I6</f>
        <v>-1323339.7653946839</v>
      </c>
      <c r="J16" s="32">
        <f>'Working Capital'!I6-'Working Capital'!J6</f>
        <v>-1548307.5255117808</v>
      </c>
      <c r="K16" s="32">
        <f>'Working Capital'!J6-'Working Capital'!K6</f>
        <v>-1811519.8048487846</v>
      </c>
    </row>
    <row r="17" spans="2:11" x14ac:dyDescent="0.45">
      <c r="B17" t="s">
        <v>72</v>
      </c>
      <c r="D17" s="20"/>
      <c r="E17" s="20"/>
      <c r="F17" s="20"/>
      <c r="G17" s="32">
        <f>'Working Capital'!G8-'Working Capital'!F8</f>
        <v>-7739888.5044657551</v>
      </c>
      <c r="H17" s="32">
        <f>'Working Capital'!H8-'Working Capital'!G8</f>
        <v>1753142.424240822</v>
      </c>
      <c r="I17" s="32">
        <f>'Working Capital'!I8-'Working Capital'!H8</f>
        <v>2051176.6363617629</v>
      </c>
      <c r="J17" s="32">
        <f>'Working Capital'!J8-'Working Capital'!I8</f>
        <v>2399876.6645432599</v>
      </c>
      <c r="K17" s="32">
        <f>'Working Capital'!K8-'Working Capital'!J8</f>
        <v>2807855.6975156125</v>
      </c>
    </row>
    <row r="18" spans="2:11" x14ac:dyDescent="0.45">
      <c r="D18" s="20"/>
      <c r="E18" s="20"/>
      <c r="F18" s="20"/>
      <c r="G18" s="6"/>
      <c r="H18" s="6"/>
      <c r="I18" s="6"/>
      <c r="J18" s="6"/>
      <c r="K18" s="6"/>
    </row>
    <row r="19" spans="2:11" s="17" customFormat="1" x14ac:dyDescent="0.45">
      <c r="B19" s="17" t="s">
        <v>73</v>
      </c>
      <c r="D19" s="21"/>
      <c r="E19" s="21"/>
      <c r="F19" s="21"/>
      <c r="G19" s="31">
        <f>SUM(G7:G17)</f>
        <v>1067534.8651650846</v>
      </c>
      <c r="H19" s="31">
        <f>SUM(H7:H17)</f>
        <v>3393784.0299451947</v>
      </c>
      <c r="I19" s="31">
        <f>SUM(I7:I17)</f>
        <v>3970193.4219286051</v>
      </c>
      <c r="J19" s="31">
        <f>SUM(J7:J17)</f>
        <v>4644647.6416547094</v>
      </c>
      <c r="K19" s="31">
        <f>SUM(K7:K17)</f>
        <v>5433808.5961960172</v>
      </c>
    </row>
    <row r="20" spans="2:11" x14ac:dyDescent="0.45">
      <c r="B20" t="s">
        <v>74</v>
      </c>
      <c r="D20" s="6"/>
      <c r="E20" s="6"/>
      <c r="F20" s="6"/>
      <c r="G20" s="32">
        <f>'Income Statement'!G18</f>
        <v>-1214225.7776999997</v>
      </c>
      <c r="H20" s="32">
        <f>'Income Statement'!H18</f>
        <v>-1420644.1599089999</v>
      </c>
      <c r="I20" s="32">
        <f>'Income Statement'!I18</f>
        <v>-1662153.6670935296</v>
      </c>
      <c r="J20" s="32">
        <f>'Income Statement'!J18</f>
        <v>-1944719.7904994297</v>
      </c>
      <c r="K20" s="32">
        <f>'Income Statement'!K18</f>
        <v>-2275322.1548843328</v>
      </c>
    </row>
    <row r="21" spans="2:11" x14ac:dyDescent="0.45">
      <c r="D21" s="6"/>
      <c r="E21" s="6"/>
      <c r="F21" s="6"/>
      <c r="G21" s="6"/>
      <c r="H21" s="6"/>
      <c r="I21" s="6"/>
      <c r="J21" s="6"/>
      <c r="K21" s="6"/>
    </row>
    <row r="22" spans="2:11" s="17" customFormat="1" x14ac:dyDescent="0.45">
      <c r="B22" s="17" t="s">
        <v>75</v>
      </c>
      <c r="D22" s="21"/>
      <c r="E22" s="21"/>
      <c r="F22" s="21"/>
      <c r="G22" s="31">
        <f>SUM(G19:G21)</f>
        <v>-146690.91253491514</v>
      </c>
      <c r="H22" s="31">
        <f>SUM(H19:H21)</f>
        <v>1973139.8700361948</v>
      </c>
      <c r="I22" s="31">
        <f>SUM(I19:I21)</f>
        <v>2308039.7548350757</v>
      </c>
      <c r="J22" s="31">
        <f>SUM(J19:J21)</f>
        <v>2699927.8511552797</v>
      </c>
      <c r="K22" s="31">
        <f>SUM(K19:K21)</f>
        <v>3158486.4413116844</v>
      </c>
    </row>
    <row r="23" spans="2:11" x14ac:dyDescent="0.45">
      <c r="B23" t="s">
        <v>76</v>
      </c>
      <c r="D23" s="20"/>
      <c r="E23" s="20"/>
      <c r="F23" s="20"/>
      <c r="G23" s="32">
        <f>-'Dep CapEx'!G11</f>
        <v>-285497.06870069844</v>
      </c>
      <c r="H23" s="32">
        <f>-'Dep CapEx'!H11</f>
        <v>-333436.07324624708</v>
      </c>
      <c r="I23" s="32">
        <f>-'Dep CapEx'!I11</f>
        <v>-389586.31259083538</v>
      </c>
      <c r="J23" s="32">
        <f>-'Dep CapEx'!J11</f>
        <v>-455337.323729522</v>
      </c>
      <c r="K23" s="32">
        <f>-'Dep CapEx'!K11</f>
        <v>-532315.52422355127</v>
      </c>
    </row>
    <row r="24" spans="2:11" x14ac:dyDescent="0.45">
      <c r="B24" t="s">
        <v>77</v>
      </c>
      <c r="D24" s="20"/>
      <c r="E24" s="20"/>
      <c r="F24" s="20"/>
      <c r="G24" s="32">
        <f>0</f>
        <v>0</v>
      </c>
      <c r="H24" s="32">
        <f>0</f>
        <v>0</v>
      </c>
      <c r="I24" s="32">
        <f>0</f>
        <v>0</v>
      </c>
      <c r="J24" s="32">
        <f>0</f>
        <v>0</v>
      </c>
      <c r="K24" s="32">
        <f>0</f>
        <v>0</v>
      </c>
    </row>
    <row r="25" spans="2:11" x14ac:dyDescent="0.45">
      <c r="B25" t="s">
        <v>78</v>
      </c>
      <c r="D25" s="20"/>
      <c r="E25" s="20"/>
      <c r="F25" s="20"/>
      <c r="G25" s="32">
        <f>0</f>
        <v>0</v>
      </c>
      <c r="H25" s="32">
        <f>0</f>
        <v>0</v>
      </c>
      <c r="I25" s="32">
        <f>0</f>
        <v>0</v>
      </c>
      <c r="J25" s="32">
        <f>0</f>
        <v>0</v>
      </c>
      <c r="K25" s="32">
        <f>0</f>
        <v>0</v>
      </c>
    </row>
    <row r="26" spans="2:11" x14ac:dyDescent="0.45">
      <c r="B26" t="s">
        <v>79</v>
      </c>
      <c r="D26" s="20"/>
      <c r="E26" s="20"/>
      <c r="F26" s="20"/>
      <c r="G26" s="32">
        <f>0</f>
        <v>0</v>
      </c>
      <c r="H26" s="32">
        <f>0</f>
        <v>0</v>
      </c>
      <c r="I26" s="32">
        <f>0</f>
        <v>0</v>
      </c>
      <c r="J26" s="32">
        <f>0</f>
        <v>0</v>
      </c>
      <c r="K26" s="32">
        <f>0</f>
        <v>0</v>
      </c>
    </row>
    <row r="27" spans="2:11" x14ac:dyDescent="0.45">
      <c r="D27" s="6"/>
      <c r="E27" s="6"/>
      <c r="F27" s="6"/>
      <c r="G27" s="6"/>
      <c r="H27" s="6"/>
      <c r="I27" s="6"/>
      <c r="J27" s="6"/>
      <c r="K27" s="6"/>
    </row>
    <row r="28" spans="2:11" x14ac:dyDescent="0.45">
      <c r="B28" s="17" t="s">
        <v>80</v>
      </c>
      <c r="D28" s="6"/>
      <c r="E28" s="6"/>
      <c r="F28" s="6"/>
      <c r="G28" s="32">
        <f>SUM(G23:G26)</f>
        <v>-285497.06870069844</v>
      </c>
      <c r="H28" s="32">
        <f>SUM(H23:H26)</f>
        <v>-333436.07324624708</v>
      </c>
      <c r="I28" s="32">
        <f>SUM(I23:I26)</f>
        <v>-389586.31259083538</v>
      </c>
      <c r="J28" s="32">
        <f>SUM(J23:J26)</f>
        <v>-455337.323729522</v>
      </c>
      <c r="K28" s="32">
        <f>SUM(K23:K26)</f>
        <v>-532315.52422355127</v>
      </c>
    </row>
    <row r="29" spans="2:11" x14ac:dyDescent="0.45">
      <c r="D29" s="6"/>
      <c r="E29" s="6"/>
      <c r="F29" s="6"/>
      <c r="G29" s="6"/>
      <c r="H29" s="6"/>
      <c r="I29" s="6"/>
      <c r="J29" s="6"/>
      <c r="K29" s="6"/>
    </row>
    <row r="30" spans="2:11" x14ac:dyDescent="0.45">
      <c r="B30" s="17" t="s">
        <v>81</v>
      </c>
      <c r="D30" s="20"/>
      <c r="E30" s="20"/>
      <c r="F30" s="20"/>
      <c r="G30" s="6"/>
      <c r="H30" s="6"/>
      <c r="I30" s="6"/>
      <c r="J30" s="6"/>
      <c r="K30" s="6"/>
    </row>
    <row r="31" spans="2:11" x14ac:dyDescent="0.45">
      <c r="B31" t="s">
        <v>82</v>
      </c>
      <c r="D31" s="20"/>
      <c r="E31" s="20"/>
      <c r="F31" s="20"/>
      <c r="G31" s="32">
        <f>'Income Statement'!G15</f>
        <v>-771965.00000000058</v>
      </c>
      <c r="H31" s="32">
        <f>'Income Statement'!H15</f>
        <v>-442900.01943574683</v>
      </c>
      <c r="I31" s="32">
        <f>'Income Statement'!I15</f>
        <v>-517435.68973982375</v>
      </c>
      <c r="J31" s="32">
        <f>'Income Statement'!J15</f>
        <v>-604642.42399559391</v>
      </c>
      <c r="K31" s="32">
        <f>'Income Statement'!K15</f>
        <v>-706674.30307484476</v>
      </c>
    </row>
    <row r="32" spans="2:11" x14ac:dyDescent="0.45">
      <c r="B32" t="s">
        <v>83</v>
      </c>
      <c r="D32" s="20"/>
      <c r="E32" s="20"/>
      <c r="F32" s="20"/>
      <c r="G32" s="32">
        <f>0</f>
        <v>0</v>
      </c>
      <c r="H32" s="32">
        <f>0</f>
        <v>0</v>
      </c>
      <c r="I32" s="32">
        <f>0</f>
        <v>0</v>
      </c>
      <c r="J32" s="32">
        <f>0</f>
        <v>0</v>
      </c>
      <c r="K32" s="32">
        <f>0</f>
        <v>0</v>
      </c>
    </row>
    <row r="33" spans="2:11" x14ac:dyDescent="0.45">
      <c r="B33" t="s">
        <v>84</v>
      </c>
      <c r="D33" s="20"/>
      <c r="E33" s="20"/>
      <c r="F33" s="20"/>
      <c r="G33" s="32">
        <f>0</f>
        <v>0</v>
      </c>
      <c r="H33" s="32">
        <f>0</f>
        <v>0</v>
      </c>
      <c r="I33" s="32">
        <f>0</f>
        <v>0</v>
      </c>
      <c r="J33" s="32">
        <f>0</f>
        <v>0</v>
      </c>
      <c r="K33" s="32">
        <f>0</f>
        <v>0</v>
      </c>
    </row>
    <row r="34" spans="2:11" x14ac:dyDescent="0.45">
      <c r="B34" t="s">
        <v>85</v>
      </c>
      <c r="D34" s="20"/>
      <c r="E34" s="20"/>
      <c r="F34" s="20"/>
      <c r="G34" s="32">
        <f>-'Income Statement'!G19*Assumptions!$C$6</f>
        <v>0</v>
      </c>
      <c r="H34" s="32">
        <f>-'Income Statement'!H19*Assumptions!$C$6</f>
        <v>0</v>
      </c>
      <c r="I34" s="32">
        <f>-'Income Statement'!I19*Assumptions!$C$6</f>
        <v>0</v>
      </c>
      <c r="J34" s="32">
        <f>-'Income Statement'!J19*Assumptions!$C$6</f>
        <v>0</v>
      </c>
      <c r="K34" s="32">
        <f>-'Income Statement'!K19*Assumptions!$C$6</f>
        <v>0</v>
      </c>
    </row>
    <row r="35" spans="2:11" x14ac:dyDescent="0.45">
      <c r="B35" s="17" t="s">
        <v>86</v>
      </c>
      <c r="D35" s="20"/>
      <c r="E35" s="20"/>
      <c r="F35" s="20"/>
      <c r="G35" s="32">
        <f>SUM(G31:G34)</f>
        <v>-771965.00000000058</v>
      </c>
      <c r="H35" s="32">
        <f>SUM(H31:H34)</f>
        <v>-442900.01943574683</v>
      </c>
      <c r="I35" s="32">
        <f>SUM(I31:I34)</f>
        <v>-517435.68973982375</v>
      </c>
      <c r="J35" s="32">
        <f>SUM(J31:J34)</f>
        <v>-604642.42399559391</v>
      </c>
      <c r="K35" s="32">
        <f>SUM(K31:K34)</f>
        <v>-706674.30307484476</v>
      </c>
    </row>
    <row r="36" spans="2:11" x14ac:dyDescent="0.45">
      <c r="B36" t="s">
        <v>87</v>
      </c>
      <c r="D36" s="20"/>
      <c r="E36" s="20"/>
      <c r="F36" s="20"/>
      <c r="G36" s="32">
        <f>G22+G28+G35</f>
        <v>-1204152.981235614</v>
      </c>
      <c r="H36" s="32">
        <f>H22+H28+H35</f>
        <v>1196803.7773542008</v>
      </c>
      <c r="I36" s="32">
        <f>I22+I28+I35</f>
        <v>1401017.7525044165</v>
      </c>
      <c r="J36" s="32">
        <f>J22+J28+J35</f>
        <v>1639948.1034301636</v>
      </c>
      <c r="K36" s="32">
        <f>K22+K28+K35</f>
        <v>1919496.6140132886</v>
      </c>
    </row>
    <row r="37" spans="2:11" x14ac:dyDescent="0.45">
      <c r="D37" s="6"/>
      <c r="E37" s="6"/>
      <c r="F37" s="6"/>
      <c r="G37" s="6"/>
      <c r="H37" s="6"/>
      <c r="I37" s="6"/>
      <c r="J37" s="6"/>
      <c r="K37" s="6"/>
    </row>
    <row r="38" spans="2:11" x14ac:dyDescent="0.45">
      <c r="B38" t="s">
        <v>88</v>
      </c>
      <c r="D38" s="20"/>
      <c r="E38" s="20"/>
      <c r="F38" s="20"/>
      <c r="G38" s="32">
        <f>'Balance Sheet'!F16</f>
        <v>704228</v>
      </c>
      <c r="H38" s="32">
        <f>G39</f>
        <v>-499924.98123561405</v>
      </c>
      <c r="I38" s="32">
        <f>H39</f>
        <v>696878.79611858679</v>
      </c>
      <c r="J38" s="32">
        <f>I39</f>
        <v>2097896.5486230031</v>
      </c>
      <c r="K38" s="32">
        <f>J39</f>
        <v>3737844.6520531666</v>
      </c>
    </row>
    <row r="39" spans="2:11" x14ac:dyDescent="0.45">
      <c r="B39" t="s">
        <v>89</v>
      </c>
      <c r="D39" s="20"/>
      <c r="E39" s="20"/>
      <c r="F39" s="20"/>
      <c r="G39" s="32">
        <f>G38+G36</f>
        <v>-499924.98123561405</v>
      </c>
      <c r="H39" s="32">
        <f>H38+H36</f>
        <v>696878.79611858679</v>
      </c>
      <c r="I39" s="32">
        <f>I38+I36</f>
        <v>2097896.5486230031</v>
      </c>
      <c r="J39" s="32">
        <f>J38+J36</f>
        <v>3737844.6520531666</v>
      </c>
      <c r="K39" s="32">
        <f>K38+K36</f>
        <v>5657341.2660664553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9"/>
  <sheetViews>
    <sheetView showGridLines="0" zoomScale="130" zoomScaleNormal="130" workbookViewId="0">
      <selection activeCell="E16" sqref="E16"/>
    </sheetView>
  </sheetViews>
  <sheetFormatPr defaultColWidth="8.6640625" defaultRowHeight="14.25" x14ac:dyDescent="0.45"/>
  <cols>
    <col min="1" max="1" width="3.265625" customWidth="1"/>
    <col min="2" max="2" width="23.9296875" customWidth="1"/>
    <col min="4" max="11" width="14.265625" customWidth="1"/>
  </cols>
  <sheetData>
    <row r="1" spans="2:12" ht="45.75" customHeight="1" x14ac:dyDescent="1.35"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2:12" ht="20.25" customHeight="1" x14ac:dyDescent="0.45">
      <c r="B2" s="1"/>
      <c r="C2" s="1"/>
      <c r="D2" s="1"/>
      <c r="E2" s="1"/>
      <c r="F2" s="1"/>
      <c r="G2" s="1"/>
      <c r="H2" s="1"/>
      <c r="I2" s="1"/>
      <c r="J2" s="1"/>
      <c r="K2" s="1"/>
    </row>
    <row r="3" spans="2:12" x14ac:dyDescent="0.45">
      <c r="B3" s="2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5" spans="2:12" ht="15.75" x14ac:dyDescent="0.5">
      <c r="B5" s="10" t="s">
        <v>23</v>
      </c>
      <c r="D5" s="11">
        <f>'Income Statement'!D6</f>
        <v>14421276</v>
      </c>
      <c r="E5" s="11">
        <f>'Income Statement'!E6</f>
        <v>30095946</v>
      </c>
      <c r="F5" s="11">
        <f>'Income Statement'!F6</f>
        <v>34593327</v>
      </c>
      <c r="G5" s="11">
        <f>'Income Statement'!G6</f>
        <v>40474192.589999996</v>
      </c>
      <c r="H5" s="11">
        <f>'Income Statement'!H6</f>
        <v>47354805.330299996</v>
      </c>
      <c r="I5" s="11">
        <f>'Income Statement'!I6</f>
        <v>55405122.236450993</v>
      </c>
      <c r="J5" s="11">
        <f>'Income Statement'!J6</f>
        <v>64823993.016647659</v>
      </c>
      <c r="K5" s="11">
        <f>'Income Statement'!K6</f>
        <v>75844071.829477757</v>
      </c>
    </row>
    <row r="7" spans="2:12" x14ac:dyDescent="0.45">
      <c r="B7" t="s">
        <v>90</v>
      </c>
      <c r="D7" s="90">
        <f>'Cash Flow Statement'!D9</f>
        <v>0</v>
      </c>
      <c r="E7" s="90">
        <f>'Cash Flow Statement'!E9</f>
        <v>0</v>
      </c>
      <c r="F7" s="90">
        <f>'Cash Flow Statement'!F9</f>
        <v>0</v>
      </c>
      <c r="G7" s="11">
        <f>G5*G8</f>
        <v>283319.34813</v>
      </c>
      <c r="H7" s="11">
        <f>H5*H8</f>
        <v>331483.63731209998</v>
      </c>
      <c r="I7" s="11">
        <f>I5*I8</f>
        <v>387835.85565515695</v>
      </c>
      <c r="J7" s="11">
        <f>J5*J8</f>
        <v>453767.9511165336</v>
      </c>
      <c r="K7" s="11">
        <f>K5*K8</f>
        <v>530908.5028063443</v>
      </c>
    </row>
    <row r="8" spans="2:12" x14ac:dyDescent="0.45">
      <c r="B8" s="12" t="s">
        <v>91</v>
      </c>
      <c r="D8" s="91"/>
      <c r="E8" s="91"/>
      <c r="F8" s="91"/>
      <c r="G8" s="35">
        <v>7.0000000000000001E-3</v>
      </c>
      <c r="H8" s="35">
        <v>7.0000000000000001E-3</v>
      </c>
      <c r="I8" s="35">
        <v>7.0000000000000001E-3</v>
      </c>
      <c r="J8" s="35">
        <v>7.0000000000000001E-3</v>
      </c>
      <c r="K8" s="35">
        <v>7.0000000000000001E-3</v>
      </c>
    </row>
    <row r="10" spans="2:12" x14ac:dyDescent="0.45">
      <c r="B10" t="s">
        <v>92</v>
      </c>
      <c r="D10" s="92"/>
      <c r="E10" s="92"/>
      <c r="F10" s="92"/>
      <c r="G10" s="6">
        <f>F13</f>
        <v>1575898</v>
      </c>
      <c r="H10" s="6">
        <f>G13</f>
        <v>1578075.7205706984</v>
      </c>
      <c r="I10" s="6">
        <f>H13</f>
        <v>1580028.1565048455</v>
      </c>
      <c r="J10" s="6">
        <f>I13</f>
        <v>1581778.6134405239</v>
      </c>
      <c r="K10" s="6">
        <f>J13</f>
        <v>1583347.9860535124</v>
      </c>
    </row>
    <row r="11" spans="2:12" x14ac:dyDescent="0.45">
      <c r="B11" t="s">
        <v>93</v>
      </c>
      <c r="D11" s="92"/>
      <c r="E11" s="92"/>
      <c r="F11" s="92"/>
      <c r="G11" s="22">
        <f>G12+(F17-G17)</f>
        <v>285497.06870069844</v>
      </c>
      <c r="H11" s="22">
        <f>H12+(G17-H17)</f>
        <v>333436.07324624708</v>
      </c>
      <c r="I11" s="22">
        <f>I12+(H17-I17)</f>
        <v>389586.31259083538</v>
      </c>
      <c r="J11" s="22">
        <f>J12+(I17-J17)</f>
        <v>455337.323729522</v>
      </c>
      <c r="K11" s="22">
        <f>K12+(J17-K17)</f>
        <v>532315.52422355127</v>
      </c>
    </row>
    <row r="12" spans="2:12" x14ac:dyDescent="0.45">
      <c r="B12" t="s">
        <v>90</v>
      </c>
      <c r="D12" s="92"/>
      <c r="E12" s="92"/>
      <c r="F12" s="92"/>
      <c r="G12" s="6">
        <f>G7</f>
        <v>283319.34813</v>
      </c>
      <c r="H12" s="6">
        <f>H7</f>
        <v>331483.63731209998</v>
      </c>
      <c r="I12" s="6">
        <f>I7</f>
        <v>387835.85565515695</v>
      </c>
      <c r="J12" s="6">
        <f>J7</f>
        <v>453767.9511165336</v>
      </c>
      <c r="K12" s="6">
        <f>K7</f>
        <v>530908.5028063443</v>
      </c>
    </row>
    <row r="13" spans="2:12" s="17" customFormat="1" ht="14.25" customHeight="1" x14ac:dyDescent="0.5">
      <c r="B13" s="78" t="s">
        <v>94</v>
      </c>
      <c r="C13" s="23"/>
      <c r="D13" s="9"/>
      <c r="E13" s="9"/>
      <c r="F13" s="9">
        <f>'Balance Sheet'!F8+'Balance Sheet'!F9+'Balance Sheet'!F10</f>
        <v>1575898</v>
      </c>
      <c r="G13" s="9">
        <f>G10+G11-G12</f>
        <v>1578075.7205706984</v>
      </c>
      <c r="H13" s="9">
        <f>H10+H11-H12</f>
        <v>1580028.1565048455</v>
      </c>
      <c r="I13" s="9">
        <f>I10+I11-I12</f>
        <v>1581778.6134405239</v>
      </c>
      <c r="J13" s="9">
        <f>J10+J11-J12</f>
        <v>1583347.9860535124</v>
      </c>
      <c r="K13" s="9">
        <f>K10+K11-K12</f>
        <v>1584755.0074707193</v>
      </c>
      <c r="L13" s="18"/>
    </row>
    <row r="14" spans="2:12" x14ac:dyDescent="0.45">
      <c r="G14" s="6"/>
      <c r="H14" s="6"/>
      <c r="I14" s="6"/>
      <c r="J14" s="6"/>
      <c r="K14" s="6"/>
    </row>
    <row r="17" spans="2:12" x14ac:dyDescent="0.45">
      <c r="B17" s="51" t="s">
        <v>95</v>
      </c>
      <c r="C17" s="4"/>
      <c r="D17" s="4"/>
      <c r="E17" s="53">
        <f>'Balance Sheet'!E7</f>
        <v>23480</v>
      </c>
      <c r="F17" s="53">
        <f>'Balance Sheet'!F7</f>
        <v>21051</v>
      </c>
      <c r="G17" s="54">
        <f>F17*(1-$C$19)</f>
        <v>18873.279429301532</v>
      </c>
      <c r="H17" s="54">
        <f>G17*(1-$C$19)</f>
        <v>16920.843495154451</v>
      </c>
      <c r="I17" s="54">
        <f>H17*(1-$C$19)</f>
        <v>15170.386559475995</v>
      </c>
      <c r="J17" s="54">
        <f>I17*(1-$C$19)</f>
        <v>13601.013946487614</v>
      </c>
      <c r="K17" s="55">
        <f>J17*(1-$C$19)</f>
        <v>12193.992529280697</v>
      </c>
      <c r="L17" s="24"/>
    </row>
    <row r="19" spans="2:12" x14ac:dyDescent="0.45">
      <c r="B19" s="51" t="s">
        <v>96</v>
      </c>
      <c r="C19" s="52">
        <f>('Balance Sheet'!E7-'Balance Sheet'!F7)/'Balance Sheet'!E7</f>
        <v>0.10344974446337309</v>
      </c>
    </row>
  </sheetData>
  <mergeCells count="1">
    <mergeCell ref="B1:L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showGridLines="0" zoomScaleNormal="100" workbookViewId="0">
      <selection sqref="A1:K1"/>
    </sheetView>
  </sheetViews>
  <sheetFormatPr defaultColWidth="8.6640625" defaultRowHeight="14.25" x14ac:dyDescent="0.45"/>
  <cols>
    <col min="1" max="1" width="4.1328125" customWidth="1"/>
    <col min="2" max="2" width="20.73046875" customWidth="1"/>
    <col min="4" max="6" width="13.6640625" customWidth="1"/>
    <col min="7" max="11" width="14.19921875" customWidth="1"/>
  </cols>
  <sheetData>
    <row r="1" spans="1:12" ht="45.75" customHeight="1" x14ac:dyDescent="1.3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2" ht="20.25" customHeight="1" x14ac:dyDescent="0.45">
      <c r="B2" s="1" t="s">
        <v>97</v>
      </c>
      <c r="C2" s="1"/>
      <c r="D2" s="1"/>
      <c r="E2" s="1"/>
      <c r="F2" s="1"/>
      <c r="G2" s="1"/>
      <c r="H2" s="1"/>
      <c r="I2" s="1"/>
      <c r="J2" s="1"/>
      <c r="K2" s="1"/>
    </row>
    <row r="4" spans="1:12" x14ac:dyDescent="0.45">
      <c r="B4" s="2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6" spans="1:12" x14ac:dyDescent="0.45">
      <c r="B6" s="62" t="s">
        <v>98</v>
      </c>
      <c r="C6" s="39"/>
      <c r="D6" s="63">
        <f>'Balance Sheet'!D15</f>
        <v>536545</v>
      </c>
      <c r="E6" s="63">
        <f>'Balance Sheet'!E15</f>
        <v>3534567</v>
      </c>
      <c r="F6" s="63">
        <f>'Balance Sheet'!F15</f>
        <v>11670285</v>
      </c>
      <c r="G6" s="63">
        <f t="shared" ref="G6:K7" si="0">G10/G14</f>
        <v>6653291.932602739</v>
      </c>
      <c r="H6" s="63">
        <f t="shared" si="0"/>
        <v>7784351.5611452051</v>
      </c>
      <c r="I6" s="63">
        <f t="shared" si="0"/>
        <v>9107691.326539889</v>
      </c>
      <c r="J6" s="63">
        <f t="shared" si="0"/>
        <v>10655998.85205167</v>
      </c>
      <c r="K6" s="64">
        <f t="shared" si="0"/>
        <v>12467518.656900454</v>
      </c>
      <c r="L6" s="6"/>
    </row>
    <row r="7" spans="1:12" x14ac:dyDescent="0.45">
      <c r="B7" s="41" t="s">
        <v>40</v>
      </c>
      <c r="D7" s="6">
        <f>'Balance Sheet'!D14</f>
        <v>846272</v>
      </c>
      <c r="E7" s="6">
        <f>'Balance Sheet'!E14</f>
        <v>2124876</v>
      </c>
      <c r="F7" s="6">
        <f>'Balance Sheet'!F14</f>
        <v>5828041</v>
      </c>
      <c r="G7" s="6">
        <f t="shared" si="0"/>
        <v>5156301.2477671225</v>
      </c>
      <c r="H7" s="6">
        <f t="shared" si="0"/>
        <v>6032872.4598875334</v>
      </c>
      <c r="I7" s="6">
        <f t="shared" si="0"/>
        <v>7058460.7780684149</v>
      </c>
      <c r="J7" s="6">
        <f t="shared" si="0"/>
        <v>8258399.1103400448</v>
      </c>
      <c r="K7" s="65">
        <f t="shared" si="0"/>
        <v>9662326.9590978511</v>
      </c>
      <c r="L7" s="6"/>
    </row>
    <row r="8" spans="1:12" x14ac:dyDescent="0.45">
      <c r="B8" s="41" t="s">
        <v>99</v>
      </c>
      <c r="D8" s="6">
        <f>-'Balance Sheet'!D19</f>
        <v>2036697</v>
      </c>
      <c r="E8" s="6">
        <f>-'Balance Sheet'!E19</f>
        <v>7171027</v>
      </c>
      <c r="F8" s="6">
        <f>-'Balance Sheet'!F19</f>
        <v>18052491</v>
      </c>
      <c r="G8" s="6">
        <f>G11/G16</f>
        <v>10312602.495534245</v>
      </c>
      <c r="H8" s="6">
        <f>H11/H16</f>
        <v>12065744.919775067</v>
      </c>
      <c r="I8" s="6">
        <f>I11/I16</f>
        <v>14116921.55613683</v>
      </c>
      <c r="J8" s="6">
        <f>J11/J16</f>
        <v>16516798.22068009</v>
      </c>
      <c r="K8" s="65">
        <f>K11/K16</f>
        <v>19324653.918195702</v>
      </c>
      <c r="L8" s="6"/>
    </row>
    <row r="9" spans="1:12" x14ac:dyDescent="0.45">
      <c r="B9" s="41"/>
      <c r="D9" s="6"/>
      <c r="E9" s="6"/>
      <c r="F9" s="6"/>
      <c r="G9" s="6"/>
      <c r="H9" s="6"/>
      <c r="I9" s="6"/>
      <c r="J9" s="6"/>
      <c r="K9" s="65"/>
      <c r="L9" s="6"/>
    </row>
    <row r="10" spans="1:12" x14ac:dyDescent="0.45">
      <c r="B10" s="47" t="s">
        <v>100</v>
      </c>
      <c r="D10" s="66">
        <f>'Income Statement'!D6</f>
        <v>14421276</v>
      </c>
      <c r="E10" s="66">
        <f>'Income Statement'!E6</f>
        <v>30095946</v>
      </c>
      <c r="F10" s="66">
        <f>'Income Statement'!F6</f>
        <v>34593327</v>
      </c>
      <c r="G10" s="66">
        <f>'Income Statement'!G6</f>
        <v>40474192.589999996</v>
      </c>
      <c r="H10" s="66">
        <f>'Income Statement'!H6</f>
        <v>47354805.330299996</v>
      </c>
      <c r="I10" s="66">
        <f>'Income Statement'!I6</f>
        <v>55405122.236450993</v>
      </c>
      <c r="J10" s="66">
        <f>'Income Statement'!J6</f>
        <v>64823993.016647659</v>
      </c>
      <c r="K10" s="67">
        <f>'Income Statement'!K6</f>
        <v>75844071.829477757</v>
      </c>
    </row>
    <row r="11" spans="1:12" x14ac:dyDescent="0.45">
      <c r="B11" s="48" t="s">
        <v>101</v>
      </c>
      <c r="C11" s="3"/>
      <c r="D11" s="68">
        <f>('Income Statement'!D7+'Income Statement'!D10)*-1</f>
        <v>12697483</v>
      </c>
      <c r="E11" s="68">
        <f>('Income Statement'!E7+'Income Statement'!E10)*-1</f>
        <v>29320054</v>
      </c>
      <c r="F11" s="68">
        <f>('Income Statement'!F7+'Income Statement'!F10)*-1</f>
        <v>33723399</v>
      </c>
      <c r="G11" s="68">
        <f>('Income Statement'!G7+'Income Statement'!G10)*-1</f>
        <v>37640999.108699992</v>
      </c>
      <c r="H11" s="68">
        <f>('Income Statement'!H7+'Income Statement'!H10)*-1</f>
        <v>44039968.957178995</v>
      </c>
      <c r="I11" s="68">
        <f>('Income Statement'!I7+'Income Statement'!I10)*-1</f>
        <v>51526763.679899424</v>
      </c>
      <c r="J11" s="68">
        <f>('Income Statement'!J7+'Income Statement'!J10)*-1</f>
        <v>60286313.505482323</v>
      </c>
      <c r="K11" s="69">
        <f>('Income Statement'!K7+'Income Statement'!K10)*-1</f>
        <v>70534986.801414311</v>
      </c>
    </row>
    <row r="13" spans="1:12" x14ac:dyDescent="0.45">
      <c r="B13" s="38" t="s">
        <v>102</v>
      </c>
      <c r="C13" s="39"/>
      <c r="D13" s="39"/>
      <c r="E13" s="39"/>
      <c r="F13" s="39"/>
      <c r="G13" s="39"/>
      <c r="H13" s="39"/>
      <c r="I13" s="39"/>
      <c r="J13" s="39"/>
      <c r="K13" s="40"/>
    </row>
    <row r="14" spans="1:12" x14ac:dyDescent="0.45">
      <c r="B14" s="56" t="s">
        <v>103</v>
      </c>
      <c r="D14" s="57">
        <f t="shared" ref="D14:F15" si="1">D10/D6</f>
        <v>26.878036325005358</v>
      </c>
      <c r="E14" s="57">
        <f t="shared" si="1"/>
        <v>8.5147476338685895</v>
      </c>
      <c r="F14" s="57">
        <f t="shared" si="1"/>
        <v>2.9642229817009609</v>
      </c>
      <c r="G14" s="57">
        <f t="shared" ref="G14:K16" si="2">365/G18</f>
        <v>6.083333333333333</v>
      </c>
      <c r="H14" s="57">
        <f t="shared" si="2"/>
        <v>6.083333333333333</v>
      </c>
      <c r="I14" s="57">
        <f t="shared" si="2"/>
        <v>6.083333333333333</v>
      </c>
      <c r="J14" s="57">
        <f t="shared" si="2"/>
        <v>6.083333333333333</v>
      </c>
      <c r="K14" s="58">
        <f t="shared" si="2"/>
        <v>6.083333333333333</v>
      </c>
    </row>
    <row r="15" spans="1:12" x14ac:dyDescent="0.45">
      <c r="B15" s="56" t="s">
        <v>104</v>
      </c>
      <c r="D15" s="57">
        <f t="shared" si="1"/>
        <v>15.004021165771761</v>
      </c>
      <c r="E15" s="57">
        <f t="shared" si="1"/>
        <v>13.798477652343008</v>
      </c>
      <c r="F15" s="57">
        <f t="shared" si="1"/>
        <v>5.7864038705287077</v>
      </c>
      <c r="G15" s="57">
        <f t="shared" si="2"/>
        <v>7.3</v>
      </c>
      <c r="H15" s="57">
        <f t="shared" si="2"/>
        <v>7.3</v>
      </c>
      <c r="I15" s="57">
        <f t="shared" si="2"/>
        <v>7.3</v>
      </c>
      <c r="J15" s="57">
        <f t="shared" si="2"/>
        <v>7.3</v>
      </c>
      <c r="K15" s="58">
        <f t="shared" si="2"/>
        <v>7.3</v>
      </c>
    </row>
    <row r="16" spans="1:12" x14ac:dyDescent="0.45">
      <c r="B16" s="56" t="s">
        <v>105</v>
      </c>
      <c r="D16" s="57">
        <f>D11/D8</f>
        <v>6.2343505194930815</v>
      </c>
      <c r="E16" s="57">
        <f>E11/E8</f>
        <v>4.0886826949612658</v>
      </c>
      <c r="F16" s="57">
        <f>F11/F8</f>
        <v>1.8680745499333029</v>
      </c>
      <c r="G16" s="57">
        <f t="shared" si="2"/>
        <v>3.65</v>
      </c>
      <c r="H16" s="57">
        <f t="shared" si="2"/>
        <v>3.65</v>
      </c>
      <c r="I16" s="57">
        <f t="shared" si="2"/>
        <v>3.65</v>
      </c>
      <c r="J16" s="57">
        <f t="shared" si="2"/>
        <v>3.65</v>
      </c>
      <c r="K16" s="58">
        <f t="shared" si="2"/>
        <v>3.65</v>
      </c>
    </row>
    <row r="17" spans="2:11" x14ac:dyDescent="0.45">
      <c r="B17" s="41"/>
      <c r="K17" s="46"/>
    </row>
    <row r="18" spans="2:11" x14ac:dyDescent="0.45">
      <c r="B18" s="56" t="s">
        <v>106</v>
      </c>
      <c r="D18" s="57">
        <f t="shared" ref="D18:F20" si="3">365/D14</f>
        <v>13.579861102443363</v>
      </c>
      <c r="E18" s="57">
        <f t="shared" si="3"/>
        <v>42.866801894182032</v>
      </c>
      <c r="F18" s="57">
        <f t="shared" si="3"/>
        <v>123.13513600469825</v>
      </c>
      <c r="G18" s="59">
        <v>60</v>
      </c>
      <c r="H18" s="59">
        <v>60</v>
      </c>
      <c r="I18" s="59">
        <v>60</v>
      </c>
      <c r="J18" s="59">
        <v>60</v>
      </c>
      <c r="K18" s="60">
        <v>60</v>
      </c>
    </row>
    <row r="19" spans="2:11" x14ac:dyDescent="0.45">
      <c r="B19" s="56" t="s">
        <v>107</v>
      </c>
      <c r="D19" s="57">
        <f t="shared" si="3"/>
        <v>24.326811857121605</v>
      </c>
      <c r="E19" s="57">
        <f t="shared" si="3"/>
        <v>26.452193437297215</v>
      </c>
      <c r="F19" s="57">
        <f t="shared" si="3"/>
        <v>63.078901536585917</v>
      </c>
      <c r="G19" s="59">
        <v>50</v>
      </c>
      <c r="H19" s="59">
        <v>50</v>
      </c>
      <c r="I19" s="59">
        <v>50</v>
      </c>
      <c r="J19" s="59">
        <v>50</v>
      </c>
      <c r="K19" s="60">
        <v>50</v>
      </c>
    </row>
    <row r="20" spans="2:11" x14ac:dyDescent="0.45">
      <c r="B20" s="56" t="s">
        <v>108</v>
      </c>
      <c r="D20" s="57">
        <f t="shared" si="3"/>
        <v>58.546595809578953</v>
      </c>
      <c r="E20" s="57">
        <f t="shared" si="3"/>
        <v>89.270806083781423</v>
      </c>
      <c r="F20" s="57">
        <f t="shared" si="3"/>
        <v>195.38834786493496</v>
      </c>
      <c r="G20" s="59">
        <v>100</v>
      </c>
      <c r="H20" s="59">
        <v>100</v>
      </c>
      <c r="I20" s="59">
        <v>100</v>
      </c>
      <c r="J20" s="59">
        <v>100</v>
      </c>
      <c r="K20" s="60">
        <v>100</v>
      </c>
    </row>
    <row r="21" spans="2:11" x14ac:dyDescent="0.45">
      <c r="B21" s="48" t="s">
        <v>109</v>
      </c>
      <c r="C21" s="3"/>
      <c r="D21" s="25">
        <f t="shared" ref="D21:K21" si="4">D18+D19-D20</f>
        <v>-20.639922850013981</v>
      </c>
      <c r="E21" s="25">
        <f t="shared" si="4"/>
        <v>-19.95181075230218</v>
      </c>
      <c r="F21" s="25">
        <f t="shared" si="4"/>
        <v>-9.1743103236507864</v>
      </c>
      <c r="G21" s="25">
        <f t="shared" si="4"/>
        <v>10</v>
      </c>
      <c r="H21" s="25">
        <f t="shared" si="4"/>
        <v>10</v>
      </c>
      <c r="I21" s="25">
        <f t="shared" si="4"/>
        <v>10</v>
      </c>
      <c r="J21" s="25">
        <f t="shared" si="4"/>
        <v>10</v>
      </c>
      <c r="K21" s="61">
        <f t="shared" si="4"/>
        <v>10</v>
      </c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showGridLines="0" zoomScale="220" zoomScaleNormal="220" workbookViewId="0">
      <selection sqref="A1:C1"/>
    </sheetView>
  </sheetViews>
  <sheetFormatPr defaultColWidth="8.6640625" defaultRowHeight="14.25" x14ac:dyDescent="0.45"/>
  <cols>
    <col min="1" max="1" width="4.73046875" customWidth="1"/>
    <col min="2" max="2" width="42" customWidth="1"/>
    <col min="3" max="3" width="16" customWidth="1"/>
  </cols>
  <sheetData>
    <row r="1" spans="1:11" ht="46.15" x14ac:dyDescent="1.35">
      <c r="A1" s="88" t="s">
        <v>0</v>
      </c>
      <c r="B1" s="88"/>
      <c r="C1" s="88"/>
      <c r="D1" s="89"/>
      <c r="E1" s="89"/>
      <c r="F1" s="89"/>
      <c r="G1" s="89"/>
      <c r="H1" s="89"/>
      <c r="I1" s="89"/>
      <c r="J1" s="89"/>
      <c r="K1" s="89"/>
    </row>
    <row r="2" spans="1:11" ht="15.75" x14ac:dyDescent="0.5">
      <c r="B2" s="26"/>
    </row>
    <row r="3" spans="1:11" ht="15.75" x14ac:dyDescent="0.5">
      <c r="B3" s="76" t="s">
        <v>110</v>
      </c>
      <c r="C3" s="40"/>
    </row>
    <row r="4" spans="1:11" x14ac:dyDescent="0.45">
      <c r="B4" s="70" t="s">
        <v>111</v>
      </c>
      <c r="C4" s="71">
        <v>0.1</v>
      </c>
    </row>
    <row r="5" spans="1:11" x14ac:dyDescent="0.45">
      <c r="B5" s="70" t="s">
        <v>112</v>
      </c>
      <c r="C5" s="71">
        <v>0.42515467809954899</v>
      </c>
    </row>
    <row r="6" spans="1:11" x14ac:dyDescent="0.45">
      <c r="B6" s="70" t="s">
        <v>113</v>
      </c>
      <c r="C6" s="71">
        <v>0</v>
      </c>
    </row>
    <row r="7" spans="1:11" x14ac:dyDescent="0.45">
      <c r="B7" s="41"/>
      <c r="C7" s="72"/>
    </row>
    <row r="8" spans="1:11" ht="15.75" x14ac:dyDescent="0.5">
      <c r="B8" s="77" t="s">
        <v>114</v>
      </c>
      <c r="C8" s="72"/>
    </row>
    <row r="9" spans="1:11" x14ac:dyDescent="0.45">
      <c r="B9" s="70" t="s">
        <v>115</v>
      </c>
      <c r="C9" s="73">
        <v>44549</v>
      </c>
    </row>
    <row r="10" spans="1:11" x14ac:dyDescent="0.45">
      <c r="B10" s="74" t="s">
        <v>116</v>
      </c>
      <c r="C10" s="75">
        <v>16181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Income Statement</vt:lpstr>
      <vt:lpstr>Balance Sheet</vt:lpstr>
      <vt:lpstr>Cash Flow Statement</vt:lpstr>
      <vt:lpstr>Dep CapEx</vt:lpstr>
      <vt:lpstr>Working Capital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 Kishan Pal N1294402</dc:creator>
  <dc:description/>
  <cp:lastModifiedBy>Jai Kishan Pal N1294402</cp:lastModifiedBy>
  <cp:revision>0</cp:revision>
  <dcterms:created xsi:type="dcterms:W3CDTF">2026-08-09T18:57:53Z</dcterms:created>
  <dcterms:modified xsi:type="dcterms:W3CDTF">2026-08-15T09:34:30Z</dcterms:modified>
  <dc:language>en-US</dc:language>
</cp:coreProperties>
</file>